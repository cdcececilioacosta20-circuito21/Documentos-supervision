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drawings/drawing4.xml" ContentType="application/vnd.openxmlformats-officedocument.drawing+xml"/>
  <Override PartName="/xl/comments3.xml" ContentType="application/vnd.openxmlformats-officedocument.spreadsheetml.comments+xml"/>
  <Override PartName="/xl/drawings/drawing5.xml" ContentType="application/vnd.openxmlformats-officedocument.drawing+xml"/>
  <Override PartName="/xl/comments4.xml" ContentType="application/vnd.openxmlformats-officedocument.spreadsheetml.comments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/>
  <mc:AlternateContent xmlns:mc="http://schemas.openxmlformats.org/markup-compatibility/2006">
    <mc:Choice Requires="x15">
      <x15ac:absPath xmlns:x15ac="http://schemas.microsoft.com/office/spreadsheetml/2010/11/ac" url="C:\Users\vanessa\Downloads\"/>
    </mc:Choice>
  </mc:AlternateContent>
  <bookViews>
    <workbookView xWindow="0" yWindow="0" windowWidth="23040" windowHeight="9252" tabRatio="826" firstSheet="1" activeTab="8"/>
  </bookViews>
  <sheets>
    <sheet name="LISTA" sheetId="10" state="hidden" r:id="rId1"/>
    <sheet name="1 ESTADÍSTICA MENSUAL" sheetId="5" r:id="rId2"/>
    <sheet name="2 RELAC. ING. Y EGR. " sheetId="32" r:id="rId3"/>
    <sheet name="3 ASIST. GRADO AÑO" sheetId="12" r:id="rId4"/>
    <sheet name="4 ASIST PERS." sheetId="20" r:id="rId5"/>
    <sheet name="4.1 ASIST PERS." sheetId="31" r:id="rId6"/>
    <sheet name="5 CLAS. EDAD Y SEXO" sheetId="11" r:id="rId7"/>
    <sheet name="6 EST. EMB." sheetId="16" r:id="rId8"/>
    <sheet name="7 EST. EX." sheetId="18" r:id="rId9"/>
  </sheets>
  <definedNames>
    <definedName name="_xlnm.Print_Area" localSheetId="2">'2 RELAC. ING. Y EGR. '!$A$2:$N$49</definedName>
    <definedName name="Excel_BuiltIn__FilterDatabase" localSheetId="1">'1 ESTADÍSTICA MENSUAL'!#REF!</definedName>
    <definedName name="Excel_BuiltIn__FilterDatabase" localSheetId="2">'2 RELAC. ING. Y EGR. '!$A$17:$N$27</definedName>
  </definedNames>
  <calcPr calcId="152511"/>
</workbook>
</file>

<file path=xl/calcChain.xml><?xml version="1.0" encoding="utf-8"?>
<calcChain xmlns="http://schemas.openxmlformats.org/spreadsheetml/2006/main">
  <c r="D49" i="32" l="1"/>
  <c r="A49" i="32"/>
  <c r="L48" i="32"/>
  <c r="J48" i="32"/>
  <c r="D48" i="32"/>
  <c r="A48" i="32"/>
  <c r="L47" i="32"/>
  <c r="J47" i="32"/>
  <c r="D47" i="32"/>
  <c r="A47" i="32"/>
  <c r="L46" i="32"/>
  <c r="J46" i="32"/>
  <c r="D46" i="32"/>
  <c r="A46" i="32"/>
  <c r="M13" i="32"/>
  <c r="M12" i="32"/>
  <c r="F12" i="32"/>
  <c r="C12" i="32"/>
  <c r="M11" i="32"/>
  <c r="C11" i="32"/>
  <c r="D73" i="31" l="1"/>
  <c r="A73" i="31"/>
  <c r="K72" i="31"/>
  <c r="I72" i="31"/>
  <c r="D72" i="31"/>
  <c r="A72" i="31"/>
  <c r="K71" i="31"/>
  <c r="I71" i="31"/>
  <c r="D71" i="31"/>
  <c r="A71" i="31"/>
  <c r="K70" i="31"/>
  <c r="I70" i="31"/>
  <c r="D70" i="31"/>
  <c r="A70" i="31"/>
  <c r="H66" i="31"/>
  <c r="L66" i="31" s="1"/>
  <c r="H65" i="31"/>
  <c r="L65" i="31" s="1"/>
  <c r="H64" i="31"/>
  <c r="L64" i="31" s="1"/>
  <c r="H63" i="31"/>
  <c r="L63" i="31" s="1"/>
  <c r="H62" i="31"/>
  <c r="L62" i="31" s="1"/>
  <c r="H61" i="31"/>
  <c r="L61" i="31" s="1"/>
  <c r="H60" i="31"/>
  <c r="L60" i="31" s="1"/>
  <c r="H59" i="31"/>
  <c r="L59" i="31" s="1"/>
  <c r="H58" i="31"/>
  <c r="L58" i="31" s="1"/>
  <c r="H57" i="31"/>
  <c r="L57" i="31" s="1"/>
  <c r="H56" i="31"/>
  <c r="L56" i="31" s="1"/>
  <c r="H55" i="31"/>
  <c r="L55" i="31" s="1"/>
  <c r="H54" i="31"/>
  <c r="L54" i="31" s="1"/>
  <c r="H53" i="31"/>
  <c r="L53" i="31" s="1"/>
  <c r="H52" i="31"/>
  <c r="L52" i="31" s="1"/>
  <c r="H51" i="31"/>
  <c r="L51" i="31" s="1"/>
  <c r="H50" i="31"/>
  <c r="L50" i="31" s="1"/>
  <c r="H49" i="31"/>
  <c r="L49" i="31" s="1"/>
  <c r="H48" i="31"/>
  <c r="L48" i="31" s="1"/>
  <c r="H47" i="31"/>
  <c r="L47" i="31" s="1"/>
  <c r="H46" i="31"/>
  <c r="L46" i="31" s="1"/>
  <c r="H45" i="31"/>
  <c r="L45" i="31" s="1"/>
  <c r="H44" i="31"/>
  <c r="L44" i="31" s="1"/>
  <c r="H43" i="31"/>
  <c r="L43" i="31" s="1"/>
  <c r="H42" i="31"/>
  <c r="L42" i="31" s="1"/>
  <c r="H41" i="31"/>
  <c r="L41" i="31" s="1"/>
  <c r="H40" i="31"/>
  <c r="L40" i="31" s="1"/>
  <c r="H39" i="31"/>
  <c r="L39" i="31" s="1"/>
  <c r="H38" i="31"/>
  <c r="L38" i="31" s="1"/>
  <c r="H37" i="31"/>
  <c r="L37" i="31" s="1"/>
  <c r="H36" i="31"/>
  <c r="L36" i="31" s="1"/>
  <c r="H35" i="31"/>
  <c r="L35" i="31" s="1"/>
  <c r="H34" i="31"/>
  <c r="L34" i="31" s="1"/>
  <c r="H33" i="31"/>
  <c r="L33" i="31" s="1"/>
  <c r="H32" i="31"/>
  <c r="L32" i="31" s="1"/>
  <c r="H31" i="31"/>
  <c r="L31" i="31" s="1"/>
  <c r="H30" i="31"/>
  <c r="L30" i="31" s="1"/>
  <c r="H29" i="31"/>
  <c r="L29" i="31" s="1"/>
  <c r="H28" i="31"/>
  <c r="L28" i="31" s="1"/>
  <c r="H27" i="31"/>
  <c r="L27" i="31" s="1"/>
  <c r="H26" i="31"/>
  <c r="L26" i="31" s="1"/>
  <c r="H25" i="31"/>
  <c r="L25" i="31" s="1"/>
  <c r="H24" i="31"/>
  <c r="L24" i="31" s="1"/>
  <c r="H23" i="31"/>
  <c r="L23" i="31" s="1"/>
  <c r="H22" i="31"/>
  <c r="L22" i="31" s="1"/>
  <c r="H21" i="31"/>
  <c r="L21" i="31" s="1"/>
  <c r="H20" i="31"/>
  <c r="L20" i="31" s="1"/>
  <c r="H19" i="31"/>
  <c r="L19" i="31" s="1"/>
  <c r="H18" i="31"/>
  <c r="L18" i="31" s="1"/>
  <c r="H17" i="31"/>
  <c r="L17" i="31" s="1"/>
  <c r="L13" i="31"/>
  <c r="L12" i="31"/>
  <c r="F12" i="31"/>
  <c r="C12" i="31"/>
  <c r="L11" i="31"/>
  <c r="C11" i="31"/>
  <c r="J17" i="31" l="1"/>
  <c r="J18" i="31"/>
  <c r="J19" i="31"/>
  <c r="J20" i="31"/>
  <c r="J21" i="31"/>
  <c r="J22" i="31"/>
  <c r="J23" i="31"/>
  <c r="J24" i="31"/>
  <c r="J25" i="31"/>
  <c r="J26" i="31"/>
  <c r="J27" i="31"/>
  <c r="J28" i="31"/>
  <c r="J29" i="31"/>
  <c r="J30" i="31"/>
  <c r="J31" i="31"/>
  <c r="J32" i="31"/>
  <c r="J33" i="31"/>
  <c r="J34" i="31"/>
  <c r="J35" i="31"/>
  <c r="J36" i="31"/>
  <c r="J37" i="31"/>
  <c r="J38" i="31"/>
  <c r="J39" i="31"/>
  <c r="J40" i="31"/>
  <c r="J41" i="31"/>
  <c r="J42" i="31"/>
  <c r="J43" i="31"/>
  <c r="J44" i="31"/>
  <c r="J45" i="31"/>
  <c r="J46" i="31"/>
  <c r="J47" i="31"/>
  <c r="J48" i="31"/>
  <c r="J49" i="31"/>
  <c r="J50" i="31"/>
  <c r="J51" i="31"/>
  <c r="J52" i="31"/>
  <c r="J53" i="31"/>
  <c r="J54" i="31"/>
  <c r="J55" i="31"/>
  <c r="J56" i="31"/>
  <c r="J57" i="31"/>
  <c r="J58" i="31"/>
  <c r="J59" i="31"/>
  <c r="J60" i="31"/>
  <c r="J61" i="31"/>
  <c r="J62" i="31"/>
  <c r="J63" i="31"/>
  <c r="J64" i="31"/>
  <c r="J65" i="31"/>
  <c r="J66" i="31"/>
  <c r="X28" i="18" l="1"/>
  <c r="AA28" i="18"/>
  <c r="X29" i="18"/>
  <c r="AA29" i="18"/>
  <c r="X27" i="18"/>
  <c r="A28" i="18"/>
  <c r="A29" i="18"/>
  <c r="A30" i="18"/>
  <c r="A27" i="18"/>
  <c r="A24" i="16"/>
  <c r="A25" i="16"/>
  <c r="A26" i="16"/>
  <c r="A23" i="16"/>
  <c r="A62" i="11"/>
  <c r="A63" i="11"/>
  <c r="A64" i="11"/>
  <c r="A61" i="11"/>
  <c r="A71" i="20"/>
  <c r="A72" i="20"/>
  <c r="A73" i="20"/>
  <c r="A70" i="20"/>
  <c r="A61" i="12"/>
  <c r="A62" i="12"/>
  <c r="A63" i="12"/>
  <c r="A60" i="12"/>
  <c r="K24" i="16"/>
  <c r="M24" i="16"/>
  <c r="K25" i="16"/>
  <c r="M25" i="16"/>
  <c r="K23" i="16"/>
  <c r="O62" i="11"/>
  <c r="Q62" i="11"/>
  <c r="O63" i="11"/>
  <c r="Q63" i="11"/>
  <c r="O61" i="11"/>
  <c r="I71" i="20"/>
  <c r="K71" i="20"/>
  <c r="I72" i="20"/>
  <c r="K72" i="20"/>
  <c r="I70" i="20"/>
  <c r="K57" i="12"/>
  <c r="M57" i="12"/>
  <c r="N57" i="12"/>
  <c r="P57" i="12"/>
  <c r="Q57" i="12"/>
  <c r="J57" i="12"/>
  <c r="Q61" i="12"/>
  <c r="Q62" i="12"/>
  <c r="O61" i="12"/>
  <c r="O62" i="12"/>
  <c r="O60" i="12"/>
  <c r="I45" i="5"/>
  <c r="F54" i="11" l="1"/>
  <c r="F56" i="11" s="1"/>
  <c r="O20" i="16"/>
  <c r="F55" i="11"/>
  <c r="S23" i="11"/>
  <c r="F36" i="11"/>
  <c r="F35" i="11"/>
  <c r="F37" i="11" s="1"/>
  <c r="O56" i="12" l="1"/>
  <c r="O55" i="12"/>
  <c r="O54" i="12"/>
  <c r="O53" i="12"/>
  <c r="O52" i="12"/>
  <c r="O51" i="12"/>
  <c r="O50" i="12"/>
  <c r="O49" i="12"/>
  <c r="O48" i="12"/>
  <c r="O47" i="12"/>
  <c r="O46" i="12"/>
  <c r="O45" i="12"/>
  <c r="O44" i="12"/>
  <c r="O43" i="12"/>
  <c r="O42" i="12"/>
  <c r="O41" i="12"/>
  <c r="O40" i="12"/>
  <c r="O39" i="12"/>
  <c r="O38" i="12"/>
  <c r="O37" i="12"/>
  <c r="O36" i="12"/>
  <c r="O35" i="12"/>
  <c r="O34" i="12"/>
  <c r="O33" i="12"/>
  <c r="O32" i="12"/>
  <c r="O31" i="12"/>
  <c r="O30" i="12"/>
  <c r="O29" i="12"/>
  <c r="O28" i="12"/>
  <c r="O27" i="12"/>
  <c r="O26" i="12"/>
  <c r="O25" i="12"/>
  <c r="O24" i="12"/>
  <c r="O23" i="12"/>
  <c r="O22" i="12"/>
  <c r="O21" i="12"/>
  <c r="O20" i="12"/>
  <c r="O19" i="12"/>
  <c r="O18" i="12"/>
  <c r="O17" i="12"/>
  <c r="O57" i="12" l="1"/>
  <c r="H55" i="11"/>
  <c r="G55" i="11"/>
  <c r="G36" i="11"/>
  <c r="R55" i="11"/>
  <c r="Q55" i="11"/>
  <c r="P55" i="11"/>
  <c r="O55" i="11"/>
  <c r="N55" i="11"/>
  <c r="M55" i="11"/>
  <c r="L55" i="11"/>
  <c r="K55" i="11"/>
  <c r="J55" i="11"/>
  <c r="I55" i="11"/>
  <c r="R54" i="11"/>
  <c r="Q54" i="11"/>
  <c r="Q56" i="11" s="1"/>
  <c r="P54" i="11"/>
  <c r="P56" i="11" s="1"/>
  <c r="O54" i="11"/>
  <c r="N54" i="11"/>
  <c r="M54" i="11"/>
  <c r="M56" i="11" s="1"/>
  <c r="L54" i="11"/>
  <c r="L56" i="11" s="1"/>
  <c r="K54" i="11"/>
  <c r="J54" i="11"/>
  <c r="I54" i="11"/>
  <c r="I56" i="11" s="1"/>
  <c r="H54" i="11"/>
  <c r="H56" i="11" s="1"/>
  <c r="G54" i="11"/>
  <c r="R36" i="11"/>
  <c r="Q36" i="11"/>
  <c r="P36" i="11"/>
  <c r="O36" i="11"/>
  <c r="N36" i="11"/>
  <c r="M36" i="11"/>
  <c r="L36" i="11"/>
  <c r="K36" i="11"/>
  <c r="J36" i="11"/>
  <c r="I36" i="11"/>
  <c r="H36" i="11"/>
  <c r="R35" i="11"/>
  <c r="Q35" i="11"/>
  <c r="P35" i="11"/>
  <c r="O35" i="11"/>
  <c r="O37" i="11" s="1"/>
  <c r="N35" i="11"/>
  <c r="M35" i="11"/>
  <c r="L35" i="11"/>
  <c r="K35" i="11"/>
  <c r="K37" i="11" s="1"/>
  <c r="J35" i="11"/>
  <c r="I35" i="11"/>
  <c r="H35" i="11"/>
  <c r="G35" i="11"/>
  <c r="G37" i="11" s="1"/>
  <c r="I37" i="11" l="1"/>
  <c r="M37" i="11"/>
  <c r="Q37" i="11"/>
  <c r="J56" i="11"/>
  <c r="N56" i="11"/>
  <c r="R56" i="11"/>
  <c r="K56" i="11"/>
  <c r="O56" i="11"/>
  <c r="H37" i="11"/>
  <c r="L37" i="11"/>
  <c r="P37" i="11"/>
  <c r="J37" i="11"/>
  <c r="N37" i="11"/>
  <c r="R37" i="11"/>
  <c r="G56" i="11"/>
  <c r="H65" i="20"/>
  <c r="J65" i="20" s="1"/>
  <c r="H51" i="20"/>
  <c r="J51" i="20" s="1"/>
  <c r="H50" i="20"/>
  <c r="J50" i="20" s="1"/>
  <c r="H49" i="20"/>
  <c r="J49" i="20" s="1"/>
  <c r="H48" i="20"/>
  <c r="L48" i="20" s="1"/>
  <c r="H47" i="20"/>
  <c r="J47" i="20" s="1"/>
  <c r="H46" i="20"/>
  <c r="J46" i="20" s="1"/>
  <c r="H45" i="20"/>
  <c r="L45" i="20" s="1"/>
  <c r="H44" i="20"/>
  <c r="J44" i="20" s="1"/>
  <c r="H43" i="20"/>
  <c r="L43" i="20" s="1"/>
  <c r="H42" i="20"/>
  <c r="J42" i="20" s="1"/>
  <c r="D73" i="20"/>
  <c r="D72" i="20"/>
  <c r="D71" i="20"/>
  <c r="K70" i="20"/>
  <c r="D70" i="20"/>
  <c r="H66" i="20"/>
  <c r="L66" i="20" s="1"/>
  <c r="H64" i="20"/>
  <c r="J64" i="20" s="1"/>
  <c r="H63" i="20"/>
  <c r="L63" i="20" s="1"/>
  <c r="H62" i="20"/>
  <c r="J62" i="20" s="1"/>
  <c r="H61" i="20"/>
  <c r="L61" i="20" s="1"/>
  <c r="H60" i="20"/>
  <c r="J60" i="20" s="1"/>
  <c r="H59" i="20"/>
  <c r="L59" i="20" s="1"/>
  <c r="H58" i="20"/>
  <c r="J58" i="20" s="1"/>
  <c r="H57" i="20"/>
  <c r="L57" i="20" s="1"/>
  <c r="H56" i="20"/>
  <c r="J56" i="20" s="1"/>
  <c r="H55" i="20"/>
  <c r="L55" i="20" s="1"/>
  <c r="H54" i="20"/>
  <c r="J54" i="20" s="1"/>
  <c r="H53" i="20"/>
  <c r="L53" i="20" s="1"/>
  <c r="H52" i="20"/>
  <c r="J52" i="20" s="1"/>
  <c r="H41" i="20"/>
  <c r="J41" i="20" s="1"/>
  <c r="H40" i="20"/>
  <c r="L40" i="20" s="1"/>
  <c r="H39" i="20"/>
  <c r="J39" i="20" s="1"/>
  <c r="H38" i="20"/>
  <c r="L38" i="20" s="1"/>
  <c r="H37" i="20"/>
  <c r="J37" i="20" s="1"/>
  <c r="H36" i="20"/>
  <c r="L36" i="20" s="1"/>
  <c r="H35" i="20"/>
  <c r="J35" i="20" s="1"/>
  <c r="H34" i="20"/>
  <c r="L34" i="20" s="1"/>
  <c r="H33" i="20"/>
  <c r="J33" i="20" s="1"/>
  <c r="H32" i="20"/>
  <c r="L32" i="20" s="1"/>
  <c r="H31" i="20"/>
  <c r="J31" i="20" s="1"/>
  <c r="H30" i="20"/>
  <c r="L30" i="20" s="1"/>
  <c r="H29" i="20"/>
  <c r="J29" i="20" s="1"/>
  <c r="H28" i="20"/>
  <c r="L28" i="20" s="1"/>
  <c r="H27" i="20"/>
  <c r="J27" i="20" s="1"/>
  <c r="H26" i="20"/>
  <c r="L26" i="20" s="1"/>
  <c r="H25" i="20"/>
  <c r="J25" i="20" s="1"/>
  <c r="H24" i="20"/>
  <c r="L24" i="20" s="1"/>
  <c r="H23" i="20"/>
  <c r="J23" i="20" s="1"/>
  <c r="H22" i="20"/>
  <c r="L22" i="20" s="1"/>
  <c r="H21" i="20"/>
  <c r="J21" i="20" s="1"/>
  <c r="H20" i="20"/>
  <c r="L20" i="20" s="1"/>
  <c r="H19" i="20"/>
  <c r="J19" i="20" s="1"/>
  <c r="H18" i="20"/>
  <c r="L18" i="20" s="1"/>
  <c r="H17" i="20"/>
  <c r="J17" i="20" s="1"/>
  <c r="L13" i="20"/>
  <c r="L12" i="20"/>
  <c r="F12" i="20"/>
  <c r="C12" i="20"/>
  <c r="L11" i="20"/>
  <c r="C11" i="20"/>
  <c r="J26" i="20" l="1"/>
  <c r="J45" i="20"/>
  <c r="L47" i="20"/>
  <c r="L65" i="20"/>
  <c r="J43" i="20"/>
  <c r="J48" i="20"/>
  <c r="L51" i="20"/>
  <c r="L50" i="20"/>
  <c r="L49" i="20"/>
  <c r="L42" i="20"/>
  <c r="L44" i="20"/>
  <c r="L46" i="20"/>
  <c r="J18" i="20"/>
  <c r="J34" i="20"/>
  <c r="J63" i="20"/>
  <c r="J22" i="20"/>
  <c r="J30" i="20"/>
  <c r="J38" i="20"/>
  <c r="J55" i="20"/>
  <c r="J59" i="20"/>
  <c r="J20" i="20"/>
  <c r="J24" i="20"/>
  <c r="J28" i="20"/>
  <c r="J32" i="20"/>
  <c r="J36" i="20"/>
  <c r="J40" i="20"/>
  <c r="J53" i="20"/>
  <c r="J57" i="20"/>
  <c r="J61" i="20"/>
  <c r="J66" i="20"/>
  <c r="L17" i="20"/>
  <c r="L19" i="20"/>
  <c r="L21" i="20"/>
  <c r="L23" i="20"/>
  <c r="L25" i="20"/>
  <c r="L27" i="20"/>
  <c r="L29" i="20"/>
  <c r="L31" i="20"/>
  <c r="L33" i="20"/>
  <c r="L35" i="20"/>
  <c r="L37" i="20"/>
  <c r="L39" i="20"/>
  <c r="L41" i="20"/>
  <c r="L52" i="20"/>
  <c r="L54" i="20"/>
  <c r="L56" i="20"/>
  <c r="L58" i="20"/>
  <c r="L60" i="20"/>
  <c r="L62" i="20"/>
  <c r="L64" i="20"/>
  <c r="O18" i="11" l="1"/>
  <c r="N18" i="11"/>
  <c r="M18" i="11"/>
  <c r="L18" i="11"/>
  <c r="J18" i="11"/>
  <c r="I18" i="11"/>
  <c r="H18" i="11"/>
  <c r="G18" i="11"/>
  <c r="F18" i="11"/>
  <c r="Q60" i="12" l="1"/>
  <c r="D60" i="12"/>
  <c r="K17" i="11"/>
  <c r="K16" i="11"/>
  <c r="AD23" i="18"/>
  <c r="AD22" i="18"/>
  <c r="AD21" i="18"/>
  <c r="AD20" i="18"/>
  <c r="AA23" i="18"/>
  <c r="AA22" i="18"/>
  <c r="AA21" i="18"/>
  <c r="AA20" i="18"/>
  <c r="X23" i="18"/>
  <c r="X22" i="18"/>
  <c r="X21" i="18"/>
  <c r="X20" i="18"/>
  <c r="U23" i="18"/>
  <c r="U22" i="18"/>
  <c r="U21" i="18"/>
  <c r="U20" i="18"/>
  <c r="R23" i="18"/>
  <c r="R22" i="18"/>
  <c r="R21" i="18"/>
  <c r="R20" i="18"/>
  <c r="O23" i="18"/>
  <c r="O22" i="18"/>
  <c r="O21" i="18"/>
  <c r="O20" i="18"/>
  <c r="L23" i="18"/>
  <c r="L22" i="18"/>
  <c r="L21" i="18"/>
  <c r="L20" i="18"/>
  <c r="I23" i="18"/>
  <c r="I22" i="18"/>
  <c r="I21" i="18"/>
  <c r="I20" i="18"/>
  <c r="F23" i="18"/>
  <c r="F22" i="18"/>
  <c r="F21" i="18"/>
  <c r="F20" i="18"/>
  <c r="F24" i="18" s="1"/>
  <c r="AC24" i="18"/>
  <c r="AB24" i="18"/>
  <c r="Z24" i="18"/>
  <c r="Y24" i="18"/>
  <c r="W24" i="18"/>
  <c r="V24" i="18"/>
  <c r="T24" i="18"/>
  <c r="S24" i="18"/>
  <c r="Q24" i="18"/>
  <c r="P24" i="18"/>
  <c r="D30" i="18"/>
  <c r="D29" i="18"/>
  <c r="D28" i="18"/>
  <c r="AA27" i="18"/>
  <c r="D27" i="18"/>
  <c r="N24" i="18"/>
  <c r="M24" i="18"/>
  <c r="K24" i="18"/>
  <c r="J24" i="18"/>
  <c r="H24" i="18"/>
  <c r="G24" i="18"/>
  <c r="E24" i="18"/>
  <c r="D24" i="18"/>
  <c r="AC12" i="18"/>
  <c r="AC11" i="18"/>
  <c r="F11" i="18"/>
  <c r="C11" i="18"/>
  <c r="AC10" i="18"/>
  <c r="C10" i="18"/>
  <c r="N20" i="16"/>
  <c r="M20" i="16"/>
  <c r="L20" i="16"/>
  <c r="K20" i="16"/>
  <c r="J20" i="16"/>
  <c r="I20" i="16"/>
  <c r="H20" i="16"/>
  <c r="G20" i="16"/>
  <c r="F20" i="16"/>
  <c r="E20" i="16"/>
  <c r="D20" i="16"/>
  <c r="N12" i="16"/>
  <c r="R11" i="11"/>
  <c r="R13" i="12"/>
  <c r="P18" i="16"/>
  <c r="P19" i="16"/>
  <c r="P17" i="16"/>
  <c r="D26" i="16"/>
  <c r="D25" i="16"/>
  <c r="D24" i="16"/>
  <c r="M23" i="16"/>
  <c r="D23" i="16"/>
  <c r="N11" i="16"/>
  <c r="F11" i="16"/>
  <c r="C11" i="16"/>
  <c r="N10" i="16"/>
  <c r="C10" i="16"/>
  <c r="Q61" i="11"/>
  <c r="D62" i="11"/>
  <c r="D63" i="11"/>
  <c r="D64" i="11"/>
  <c r="D61" i="11"/>
  <c r="D61" i="12"/>
  <c r="D62" i="12"/>
  <c r="D63" i="12"/>
  <c r="F12" i="12"/>
  <c r="R40" i="12"/>
  <c r="R41" i="12"/>
  <c r="R42" i="12"/>
  <c r="R43" i="12"/>
  <c r="R44" i="12"/>
  <c r="R45" i="12"/>
  <c r="R46" i="12"/>
  <c r="R47" i="12"/>
  <c r="R48" i="12"/>
  <c r="R49" i="12"/>
  <c r="R50" i="12"/>
  <c r="R51" i="12"/>
  <c r="L40" i="12"/>
  <c r="L41" i="12"/>
  <c r="L42" i="12"/>
  <c r="L43" i="12"/>
  <c r="L44" i="12"/>
  <c r="L45" i="12"/>
  <c r="L46" i="12"/>
  <c r="L47" i="12"/>
  <c r="L48" i="12"/>
  <c r="L49" i="12"/>
  <c r="L50" i="12"/>
  <c r="L51" i="12"/>
  <c r="F10" i="11"/>
  <c r="C10" i="11"/>
  <c r="C9" i="11"/>
  <c r="F24" i="5"/>
  <c r="I24" i="5"/>
  <c r="L24" i="5"/>
  <c r="F25" i="5"/>
  <c r="I25" i="5"/>
  <c r="L25" i="5"/>
  <c r="F26" i="5"/>
  <c r="I26" i="5"/>
  <c r="L26" i="5"/>
  <c r="F27" i="5"/>
  <c r="I27" i="5"/>
  <c r="L27" i="5"/>
  <c r="F28" i="5"/>
  <c r="I28" i="5"/>
  <c r="L28" i="5"/>
  <c r="F29" i="5"/>
  <c r="I29" i="5"/>
  <c r="L29" i="5"/>
  <c r="F30" i="5"/>
  <c r="I30" i="5"/>
  <c r="L30" i="5"/>
  <c r="F31" i="5"/>
  <c r="I31" i="5"/>
  <c r="L31" i="5"/>
  <c r="R56" i="12"/>
  <c r="R55" i="12"/>
  <c r="R54" i="12"/>
  <c r="R53" i="12"/>
  <c r="R52" i="12"/>
  <c r="R39" i="12"/>
  <c r="R38" i="12"/>
  <c r="R37" i="12"/>
  <c r="R36" i="12"/>
  <c r="R35" i="12"/>
  <c r="R34" i="12"/>
  <c r="R33" i="12"/>
  <c r="R32" i="12"/>
  <c r="R31" i="12"/>
  <c r="R30" i="12"/>
  <c r="R29" i="12"/>
  <c r="R28" i="12"/>
  <c r="R27" i="12"/>
  <c r="R26" i="12"/>
  <c r="R25" i="12"/>
  <c r="R24" i="12"/>
  <c r="R23" i="12"/>
  <c r="R22" i="12"/>
  <c r="R21" i="12"/>
  <c r="R20" i="12"/>
  <c r="R19" i="12"/>
  <c r="R18" i="12"/>
  <c r="R17" i="12"/>
  <c r="L56" i="12"/>
  <c r="L55" i="12"/>
  <c r="L54" i="12"/>
  <c r="L53" i="12"/>
  <c r="L52" i="12"/>
  <c r="L39" i="12"/>
  <c r="L38" i="12"/>
  <c r="L37" i="12"/>
  <c r="L36" i="12"/>
  <c r="L35" i="12"/>
  <c r="L34" i="12"/>
  <c r="L33" i="12"/>
  <c r="L32" i="12"/>
  <c r="L31" i="12"/>
  <c r="L30" i="12"/>
  <c r="L29" i="12"/>
  <c r="L28" i="12"/>
  <c r="L27" i="12"/>
  <c r="L26" i="12"/>
  <c r="L25" i="12"/>
  <c r="L24" i="12"/>
  <c r="L23" i="12"/>
  <c r="L22" i="12"/>
  <c r="L21" i="12"/>
  <c r="L20" i="12"/>
  <c r="L19" i="12"/>
  <c r="L18" i="12"/>
  <c r="L17" i="12"/>
  <c r="R12" i="12"/>
  <c r="R11" i="12"/>
  <c r="C12" i="12"/>
  <c r="C11" i="12"/>
  <c r="R10" i="11"/>
  <c r="R9" i="11"/>
  <c r="M19" i="5"/>
  <c r="M18" i="5"/>
  <c r="L19" i="5"/>
  <c r="L18" i="5"/>
  <c r="M17" i="5"/>
  <c r="L17" i="5"/>
  <c r="S51" i="11"/>
  <c r="S50" i="11"/>
  <c r="S53" i="11"/>
  <c r="S52" i="11"/>
  <c r="S49" i="11"/>
  <c r="S48" i="11"/>
  <c r="S47" i="11"/>
  <c r="S46" i="11"/>
  <c r="S45" i="11"/>
  <c r="S44" i="11"/>
  <c r="S43" i="11"/>
  <c r="S42" i="11"/>
  <c r="S54" i="11" s="1"/>
  <c r="S34" i="11"/>
  <c r="S33" i="11"/>
  <c r="S32" i="11"/>
  <c r="S31" i="11"/>
  <c r="S30" i="11"/>
  <c r="S29" i="11"/>
  <c r="S28" i="11"/>
  <c r="S27" i="11"/>
  <c r="S26" i="11"/>
  <c r="S25" i="11"/>
  <c r="P17" i="11"/>
  <c r="S24" i="11"/>
  <c r="P16" i="11"/>
  <c r="Q16" i="11" s="1"/>
  <c r="L46" i="5"/>
  <c r="L45" i="5"/>
  <c r="L44" i="5"/>
  <c r="L43" i="5"/>
  <c r="L42" i="5"/>
  <c r="L41" i="5"/>
  <c r="L40" i="5"/>
  <c r="L39" i="5"/>
  <c r="L38" i="5"/>
  <c r="L37" i="5"/>
  <c r="L36" i="5"/>
  <c r="L35" i="5"/>
  <c r="L34" i="5"/>
  <c r="I46" i="5"/>
  <c r="I44" i="5"/>
  <c r="I43" i="5"/>
  <c r="I42" i="5"/>
  <c r="I41" i="5"/>
  <c r="I40" i="5"/>
  <c r="I39" i="5"/>
  <c r="I38" i="5"/>
  <c r="I37" i="5"/>
  <c r="I36" i="5"/>
  <c r="I35" i="5"/>
  <c r="I34" i="5"/>
  <c r="F46" i="5"/>
  <c r="F45" i="5"/>
  <c r="F44" i="5"/>
  <c r="F43" i="5"/>
  <c r="F42" i="5"/>
  <c r="F41" i="5"/>
  <c r="F40" i="5"/>
  <c r="F39" i="5"/>
  <c r="F38" i="5"/>
  <c r="F37" i="5"/>
  <c r="F36" i="5"/>
  <c r="F35" i="5"/>
  <c r="F34" i="5"/>
  <c r="K47" i="5"/>
  <c r="K48" i="5" s="1"/>
  <c r="J47" i="5"/>
  <c r="J48" i="5" s="1"/>
  <c r="I20" i="5"/>
  <c r="K18" i="5"/>
  <c r="E17" i="5"/>
  <c r="K19" i="5"/>
  <c r="G20" i="5"/>
  <c r="E18" i="5"/>
  <c r="H17" i="5"/>
  <c r="F20" i="5"/>
  <c r="J20" i="5"/>
  <c r="K17" i="5"/>
  <c r="C20" i="5"/>
  <c r="H18" i="5"/>
  <c r="F32" i="5"/>
  <c r="F33" i="5"/>
  <c r="H19" i="5"/>
  <c r="L33" i="5"/>
  <c r="L32" i="5"/>
  <c r="I32" i="5"/>
  <c r="I33" i="5"/>
  <c r="E47" i="5"/>
  <c r="E48" i="5" s="1"/>
  <c r="H47" i="5"/>
  <c r="H48" i="5" s="1"/>
  <c r="G47" i="5"/>
  <c r="G48" i="5" s="1"/>
  <c r="G49" i="5" s="1"/>
  <c r="D47" i="5"/>
  <c r="D48" i="5" s="1"/>
  <c r="D49" i="5" s="1"/>
  <c r="E19" i="5"/>
  <c r="D20" i="5"/>
  <c r="U24" i="18"/>
  <c r="X24" i="18"/>
  <c r="I24" i="18"/>
  <c r="O24" i="18"/>
  <c r="R24" i="18"/>
  <c r="AA24" i="18"/>
  <c r="L24" i="18"/>
  <c r="M42" i="5"/>
  <c r="N19" i="5" l="1"/>
  <c r="M26" i="5"/>
  <c r="M45" i="5"/>
  <c r="AE20" i="18"/>
  <c r="AE21" i="18"/>
  <c r="AE22" i="18"/>
  <c r="AE23" i="18"/>
  <c r="M44" i="5"/>
  <c r="M43" i="5"/>
  <c r="M36" i="5"/>
  <c r="M39" i="5"/>
  <c r="M27" i="5"/>
  <c r="M30" i="5"/>
  <c r="N17" i="5"/>
  <c r="K49" i="5"/>
  <c r="E20" i="5"/>
  <c r="M20" i="5"/>
  <c r="M35" i="5"/>
  <c r="M40" i="5"/>
  <c r="H49" i="5"/>
  <c r="K20" i="5"/>
  <c r="M34" i="5"/>
  <c r="M38" i="5"/>
  <c r="M46" i="5"/>
  <c r="M31" i="5"/>
  <c r="M25" i="5"/>
  <c r="L57" i="12"/>
  <c r="R57" i="12"/>
  <c r="H20" i="5"/>
  <c r="E49" i="5"/>
  <c r="J49" i="5"/>
  <c r="L20" i="5"/>
  <c r="N18" i="5"/>
  <c r="M33" i="5"/>
  <c r="M29" i="5"/>
  <c r="M28" i="5"/>
  <c r="I47" i="5"/>
  <c r="I48" i="5" s="1"/>
  <c r="I49" i="5" s="1"/>
  <c r="M32" i="5"/>
  <c r="M37" i="5"/>
  <c r="M41" i="5"/>
  <c r="M24" i="5"/>
  <c r="S54" i="12"/>
  <c r="T54" i="12" s="1"/>
  <c r="S50" i="12"/>
  <c r="T50" i="12" s="1"/>
  <c r="S46" i="12"/>
  <c r="T46" i="12" s="1"/>
  <c r="S42" i="12"/>
  <c r="T42" i="12" s="1"/>
  <c r="S38" i="12"/>
  <c r="T38" i="12" s="1"/>
  <c r="S34" i="12"/>
  <c r="T34" i="12" s="1"/>
  <c r="S30" i="12"/>
  <c r="T30" i="12" s="1"/>
  <c r="S18" i="12"/>
  <c r="T18" i="12" s="1"/>
  <c r="S23" i="12"/>
  <c r="T23" i="12" s="1"/>
  <c r="S19" i="12"/>
  <c r="T19" i="12" s="1"/>
  <c r="S53" i="12"/>
  <c r="T53" i="12" s="1"/>
  <c r="S49" i="12"/>
  <c r="T49" i="12" s="1"/>
  <c r="S45" i="12"/>
  <c r="T45" i="12" s="1"/>
  <c r="S41" i="12"/>
  <c r="T41" i="12" s="1"/>
  <c r="S37" i="12"/>
  <c r="T37" i="12" s="1"/>
  <c r="S33" i="12"/>
  <c r="T33" i="12" s="1"/>
  <c r="S29" i="12"/>
  <c r="T29" i="12" s="1"/>
  <c r="S26" i="12"/>
  <c r="T26" i="12" s="1"/>
  <c r="S22" i="12"/>
  <c r="T22" i="12" s="1"/>
  <c r="S56" i="12"/>
  <c r="T56" i="12" s="1"/>
  <c r="S52" i="12"/>
  <c r="T52" i="12" s="1"/>
  <c r="S48" i="12"/>
  <c r="T48" i="12" s="1"/>
  <c r="S44" i="12"/>
  <c r="T44" i="12" s="1"/>
  <c r="S40" i="12"/>
  <c r="T40" i="12" s="1"/>
  <c r="S36" i="12"/>
  <c r="T36" i="12" s="1"/>
  <c r="S32" i="12"/>
  <c r="T32" i="12" s="1"/>
  <c r="S28" i="12"/>
  <c r="T28" i="12" s="1"/>
  <c r="S25" i="12"/>
  <c r="T25" i="12" s="1"/>
  <c r="S21" i="12"/>
  <c r="T21" i="12" s="1"/>
  <c r="S55" i="12"/>
  <c r="T55" i="12" s="1"/>
  <c r="S51" i="12"/>
  <c r="T51" i="12" s="1"/>
  <c r="S47" i="12"/>
  <c r="T47" i="12" s="1"/>
  <c r="S43" i="12"/>
  <c r="T43" i="12" s="1"/>
  <c r="S39" i="12"/>
  <c r="T39" i="12" s="1"/>
  <c r="S35" i="12"/>
  <c r="T35" i="12" s="1"/>
  <c r="S27" i="12"/>
  <c r="T27" i="12" s="1"/>
  <c r="S24" i="12"/>
  <c r="T24" i="12" s="1"/>
  <c r="S20" i="12"/>
  <c r="T20" i="12" s="1"/>
  <c r="S31" i="12"/>
  <c r="T31" i="12" s="1"/>
  <c r="S17" i="12"/>
  <c r="P20" i="16"/>
  <c r="S55" i="11"/>
  <c r="P18" i="11"/>
  <c r="S56" i="11"/>
  <c r="S35" i="11"/>
  <c r="F47" i="5"/>
  <c r="F48" i="5" s="1"/>
  <c r="F49" i="5" s="1"/>
  <c r="L47" i="5"/>
  <c r="L48" i="5" s="1"/>
  <c r="L49" i="5" s="1"/>
  <c r="S36" i="11"/>
  <c r="Q17" i="11"/>
  <c r="Q18" i="11" s="1"/>
  <c r="K18" i="11"/>
  <c r="AD24" i="18"/>
  <c r="AE24" i="18" l="1"/>
  <c r="M47" i="5"/>
  <c r="M48" i="5" s="1"/>
  <c r="N20" i="5"/>
  <c r="T17" i="12"/>
  <c r="S57" i="12"/>
  <c r="S37" i="11"/>
  <c r="M49" i="5" l="1"/>
</calcChain>
</file>

<file path=xl/comments1.xml><?xml version="1.0" encoding="utf-8"?>
<comments xmlns="http://schemas.openxmlformats.org/spreadsheetml/2006/main">
  <authors>
    <author>MGIRON</author>
    <author>Sige</author>
  </authors>
  <commentList>
    <comment ref="B18" authorId="0" shapeId="0">
      <text>
        <r>
          <rPr>
            <sz val="9"/>
            <color indexed="81"/>
            <rFont val="Tahoma"/>
            <family val="2"/>
          </rPr>
          <t>SOLO NÚMEROS.
NO USE LETRAS NI PUNTOS DE MILES</t>
        </r>
      </text>
    </comment>
    <comment ref="C18" authorId="1" shapeId="0">
      <text>
        <r>
          <rPr>
            <b/>
            <sz val="9"/>
            <color indexed="81"/>
            <rFont val="Tahoma"/>
            <family val="2"/>
          </rPr>
          <t>TODO EN MAYUSCULAS. 
ESCRIBA AMBOS APELLIDOS Y AMBOS NOMBRES, EN CASO DE TENERLOS</t>
        </r>
      </text>
    </comment>
    <comment ref="E18" authorId="1" shapeId="0">
      <text>
        <r>
          <rPr>
            <b/>
            <sz val="9"/>
            <color indexed="81"/>
            <rFont val="Tahoma"/>
            <family val="2"/>
          </rPr>
          <t xml:space="preserve">TODO EN MAYÚSCULAS. 
ESTADO Y MUNICIPIO.
EJEMPLO: 
MIRANDA, GUAICAIPURO
</t>
        </r>
      </text>
    </comment>
    <comment ref="B19" authorId="0" shapeId="0">
      <text>
        <r>
          <rPr>
            <sz val="9"/>
            <color indexed="81"/>
            <rFont val="Tahoma"/>
            <family val="2"/>
          </rPr>
          <t>SOLO NÚMEROS.
NO USE LETRAS NI PUNTOS DE MILES</t>
        </r>
      </text>
    </comment>
    <comment ref="C19" authorId="1" shapeId="0">
      <text>
        <r>
          <rPr>
            <b/>
            <sz val="9"/>
            <color indexed="81"/>
            <rFont val="Tahoma"/>
            <family val="2"/>
          </rPr>
          <t>TODO EN MAYUSCULAS. 
ESCRIBA AMBOS APELLIDOS Y AMBOS NOMBRES, EN CASO DE TENERLOS</t>
        </r>
      </text>
    </comment>
    <comment ref="E19" authorId="1" shapeId="0">
      <text>
        <r>
          <rPr>
            <b/>
            <sz val="9"/>
            <color indexed="81"/>
            <rFont val="Tahoma"/>
            <family val="2"/>
          </rPr>
          <t xml:space="preserve">TODO EN MAYÚSCULAS. 
ESTADO Y MUNICIPIO.
EJEMPLO: 
MIRANDA, GUAICAIPURO
</t>
        </r>
      </text>
    </comment>
    <comment ref="B20" authorId="0" shapeId="0">
      <text>
        <r>
          <rPr>
            <sz val="9"/>
            <color indexed="81"/>
            <rFont val="Tahoma"/>
            <family val="2"/>
          </rPr>
          <t>SOLO NÚMEROS.
NO USE LETRAS NI PUNTOS DE MILES</t>
        </r>
      </text>
    </comment>
    <comment ref="C20" authorId="1" shapeId="0">
      <text>
        <r>
          <rPr>
            <b/>
            <sz val="9"/>
            <color indexed="81"/>
            <rFont val="Tahoma"/>
            <family val="2"/>
          </rPr>
          <t>TODO EN MAYUSCULAS. 
ESCRIBA AMBOS APELLIDOS Y AMBOS NOMBRES, EN CASO DE TENERLOS</t>
        </r>
      </text>
    </comment>
    <comment ref="E20" authorId="1" shapeId="0">
      <text>
        <r>
          <rPr>
            <b/>
            <sz val="9"/>
            <color indexed="81"/>
            <rFont val="Tahoma"/>
            <family val="2"/>
          </rPr>
          <t xml:space="preserve">TODO EN MAYÚSCULAS. 
ESTADO Y MUNICIPIO.
EJEMPLO: 
MIRANDA, GUAICAIPURO
</t>
        </r>
      </text>
    </comment>
    <comment ref="B21" authorId="0" shapeId="0">
      <text>
        <r>
          <rPr>
            <sz val="9"/>
            <color indexed="81"/>
            <rFont val="Tahoma"/>
            <family val="2"/>
          </rPr>
          <t>SOLO NÚMEROS.
NO USE LETRAS NI PUNTOS DE MILES</t>
        </r>
      </text>
    </comment>
    <comment ref="C21" authorId="1" shapeId="0">
      <text>
        <r>
          <rPr>
            <b/>
            <sz val="9"/>
            <color indexed="81"/>
            <rFont val="Tahoma"/>
            <family val="2"/>
          </rPr>
          <t>TODO EN MAYUSCULAS. 
ESCRIBA AMBOS APELLIDOS Y AMBOS NOMBRES, EN CASO DE TENERLOS</t>
        </r>
      </text>
    </comment>
    <comment ref="E21" authorId="1" shapeId="0">
      <text>
        <r>
          <rPr>
            <b/>
            <sz val="9"/>
            <color indexed="81"/>
            <rFont val="Tahoma"/>
            <family val="2"/>
          </rPr>
          <t xml:space="preserve">TODO EN MAYÚSCULAS. 
ESTADO Y MUNICIPIO.
EJEMPLO: 
MIRANDA, GUAICAIPURO
</t>
        </r>
      </text>
    </comment>
    <comment ref="B22" authorId="0" shapeId="0">
      <text>
        <r>
          <rPr>
            <sz val="9"/>
            <color indexed="81"/>
            <rFont val="Tahoma"/>
            <family val="2"/>
          </rPr>
          <t>SOLO NÚMEROS.
NO USE LETRAS NI PUNTOS DE MILES</t>
        </r>
      </text>
    </comment>
    <comment ref="C22" authorId="1" shapeId="0">
      <text>
        <r>
          <rPr>
            <b/>
            <sz val="9"/>
            <color indexed="81"/>
            <rFont val="Tahoma"/>
            <family val="2"/>
          </rPr>
          <t>TODO EN MAYUSCULAS. 
ESCRIBA AMBOS APELLIDOS Y AMBOS NOMBRES, EN CASO DE TENERLOS</t>
        </r>
      </text>
    </comment>
    <comment ref="E22" authorId="1" shapeId="0">
      <text>
        <r>
          <rPr>
            <b/>
            <sz val="9"/>
            <color indexed="81"/>
            <rFont val="Tahoma"/>
            <family val="2"/>
          </rPr>
          <t xml:space="preserve">TODO EN MAYÚSCULAS. 
ESTADO Y MUNICIPIO.
EJEMPLO: 
MIRANDA, GUAICAIPURO
</t>
        </r>
      </text>
    </comment>
    <comment ref="B23" authorId="0" shapeId="0">
      <text>
        <r>
          <rPr>
            <sz val="9"/>
            <color indexed="81"/>
            <rFont val="Tahoma"/>
            <family val="2"/>
          </rPr>
          <t>SOLO NÚMEROS.
NO USE LETRAS NI PUNTOS DE MILES</t>
        </r>
      </text>
    </comment>
    <comment ref="C23" authorId="1" shapeId="0">
      <text>
        <r>
          <rPr>
            <b/>
            <sz val="9"/>
            <color indexed="81"/>
            <rFont val="Tahoma"/>
            <family val="2"/>
          </rPr>
          <t>TODO EN MAYUSCULAS. 
ESCRIBA AMBOS APELLIDOS Y AMBOS NOMBRES, EN CASO DE TENERLOS</t>
        </r>
      </text>
    </comment>
    <comment ref="E23" authorId="1" shapeId="0">
      <text>
        <r>
          <rPr>
            <b/>
            <sz val="9"/>
            <color indexed="81"/>
            <rFont val="Tahoma"/>
            <family val="2"/>
          </rPr>
          <t xml:space="preserve">TODO EN MAYÚSCULAS. 
ESTADO Y MUNICIPIO.
EJEMPLO: 
MIRANDA, GUAICAIPURO
</t>
        </r>
      </text>
    </comment>
    <comment ref="B24" authorId="0" shapeId="0">
      <text>
        <r>
          <rPr>
            <sz val="9"/>
            <color indexed="81"/>
            <rFont val="Tahoma"/>
            <family val="2"/>
          </rPr>
          <t>SOLO NÚMEROS.
NO USE LETRAS NI PUNTOS DE MILES</t>
        </r>
      </text>
    </comment>
    <comment ref="C24" authorId="1" shapeId="0">
      <text>
        <r>
          <rPr>
            <b/>
            <sz val="9"/>
            <color indexed="81"/>
            <rFont val="Tahoma"/>
            <family val="2"/>
          </rPr>
          <t>TODO EN MAYUSCULAS. 
ESCRIBA AMBOS APELLIDOS Y AMBOS NOMBRES, EN CASO DE TENERLOS</t>
        </r>
      </text>
    </comment>
    <comment ref="E24" authorId="1" shapeId="0">
      <text>
        <r>
          <rPr>
            <b/>
            <sz val="9"/>
            <color indexed="81"/>
            <rFont val="Tahoma"/>
            <family val="2"/>
          </rPr>
          <t xml:space="preserve">TODO EN MAYÚSCULAS. 
ESTADO Y MUNICIPIO.
EJEMPLO: 
MIRANDA, GUAICAIPURO
</t>
        </r>
      </text>
    </comment>
    <comment ref="B25" authorId="0" shapeId="0">
      <text>
        <r>
          <rPr>
            <sz val="9"/>
            <color indexed="81"/>
            <rFont val="Tahoma"/>
            <family val="2"/>
          </rPr>
          <t>SOLO NÚMEROS.
NO USE LETRAS NI PUNTOS DE MILES</t>
        </r>
      </text>
    </comment>
    <comment ref="C25" authorId="1" shapeId="0">
      <text>
        <r>
          <rPr>
            <b/>
            <sz val="9"/>
            <color indexed="81"/>
            <rFont val="Tahoma"/>
            <family val="2"/>
          </rPr>
          <t>TODO EN MAYUSCULAS. 
ESCRIBA AMBOS APELLIDOS Y AMBOS NOMBRES, EN CASO DE TENERLOS</t>
        </r>
      </text>
    </comment>
    <comment ref="E25" authorId="1" shapeId="0">
      <text>
        <r>
          <rPr>
            <b/>
            <sz val="9"/>
            <color indexed="81"/>
            <rFont val="Tahoma"/>
            <family val="2"/>
          </rPr>
          <t xml:space="preserve">TODO EN MAYÚSCULAS. 
ESTADO Y MUNICIPIO.
EJEMPLO: 
MIRANDA, GUAICAIPURO
</t>
        </r>
      </text>
    </comment>
    <comment ref="B26" authorId="0" shapeId="0">
      <text>
        <r>
          <rPr>
            <sz val="9"/>
            <color indexed="81"/>
            <rFont val="Tahoma"/>
            <family val="2"/>
          </rPr>
          <t>SOLO NÚMEROS.
NO USE LETRAS NI PUNTOS DE MILES</t>
        </r>
      </text>
    </comment>
    <comment ref="C26" authorId="1" shapeId="0">
      <text>
        <r>
          <rPr>
            <b/>
            <sz val="9"/>
            <color indexed="81"/>
            <rFont val="Tahoma"/>
            <family val="2"/>
          </rPr>
          <t>TODO EN MAYUSCULAS. 
ESCRIBA AMBOS APELLIDOS Y AMBOS NOMBRES, EN CASO DE TENERLOS</t>
        </r>
      </text>
    </comment>
    <comment ref="E26" authorId="1" shapeId="0">
      <text>
        <r>
          <rPr>
            <b/>
            <sz val="9"/>
            <color indexed="81"/>
            <rFont val="Tahoma"/>
            <family val="2"/>
          </rPr>
          <t xml:space="preserve">TODO EN MAYÚSCULAS. 
ESTADO Y MUNICIPIO.
EJEMPLO: 
MIRANDA, GUAICAIPURO
</t>
        </r>
      </text>
    </comment>
    <comment ref="B27" authorId="0" shapeId="0">
      <text>
        <r>
          <rPr>
            <sz val="9"/>
            <color indexed="81"/>
            <rFont val="Tahoma"/>
            <family val="2"/>
          </rPr>
          <t>SOLO NÚMEROS.
NO USE LETRAS NI PUNTOS DE MILES</t>
        </r>
      </text>
    </comment>
    <comment ref="C27" authorId="1" shapeId="0">
      <text>
        <r>
          <rPr>
            <b/>
            <sz val="9"/>
            <color indexed="81"/>
            <rFont val="Tahoma"/>
            <family val="2"/>
          </rPr>
          <t>TODO EN MAYUSCULAS. 
ESCRIBA AMBOS APELLIDOS Y AMBOS NOMBRES, EN CASO DE TENERLOS</t>
        </r>
      </text>
    </comment>
    <comment ref="E27" authorId="1" shapeId="0">
      <text>
        <r>
          <rPr>
            <b/>
            <sz val="9"/>
            <color indexed="81"/>
            <rFont val="Tahoma"/>
            <family val="2"/>
          </rPr>
          <t xml:space="preserve">TODO EN MAYÚSCULAS. 
ESTADO Y MUNICIPIO.
EJEMPLO: 
MIRANDA, GUAICAIPURO
</t>
        </r>
      </text>
    </comment>
    <comment ref="B32" authorId="0" shapeId="0">
      <text>
        <r>
          <rPr>
            <sz val="9"/>
            <color indexed="81"/>
            <rFont val="Tahoma"/>
            <family val="2"/>
          </rPr>
          <t>SOLO NÚMEROS.
NO USE LETRAS NI PUNTOS DE MILES</t>
        </r>
      </text>
    </comment>
    <comment ref="C32" authorId="1" shapeId="0">
      <text>
        <r>
          <rPr>
            <b/>
            <sz val="9"/>
            <color indexed="81"/>
            <rFont val="Tahoma"/>
            <family val="2"/>
          </rPr>
          <t>TODO EN MAYUSCULAS. 
ESCRIBA AMBOS APELLIDOS Y AMBOS NOMBRES, EN CASO DE TENERLOS</t>
        </r>
      </text>
    </comment>
    <comment ref="E32" authorId="1" shapeId="0">
      <text>
        <r>
          <rPr>
            <b/>
            <sz val="9"/>
            <color indexed="81"/>
            <rFont val="Tahoma"/>
            <family val="2"/>
          </rPr>
          <t xml:space="preserve">TODO EN MAYÚSCULAS. 
ESTADO Y MUNICIPIO.
EJEMPLO: 
MIRANDA, GUAICAIPURO
</t>
        </r>
      </text>
    </comment>
    <comment ref="B33" authorId="0" shapeId="0">
      <text>
        <r>
          <rPr>
            <sz val="9"/>
            <color indexed="81"/>
            <rFont val="Tahoma"/>
            <family val="2"/>
          </rPr>
          <t>SOLO NÚMEROS.
NO USE LETRAS NI PUNTOS DE MILES</t>
        </r>
      </text>
    </comment>
    <comment ref="C33" authorId="1" shapeId="0">
      <text>
        <r>
          <rPr>
            <b/>
            <sz val="9"/>
            <color indexed="81"/>
            <rFont val="Tahoma"/>
            <family val="2"/>
          </rPr>
          <t>TODO EN MAYUSCULAS. 
ESCRIBA AMBOS APELLIDOS Y AMBOS NOMBRES, EN CASO DE TENERLOS</t>
        </r>
      </text>
    </comment>
    <comment ref="E33" authorId="1" shapeId="0">
      <text>
        <r>
          <rPr>
            <b/>
            <sz val="9"/>
            <color indexed="81"/>
            <rFont val="Tahoma"/>
            <family val="2"/>
          </rPr>
          <t xml:space="preserve">TODO EN MAYÚSCULAS. 
ESTADO Y MUNICIPIO.
EJEMPLO: 
MIRANDA, GUAICAIPURO
</t>
        </r>
      </text>
    </comment>
    <comment ref="B34" authorId="0" shapeId="0">
      <text>
        <r>
          <rPr>
            <sz val="9"/>
            <color indexed="81"/>
            <rFont val="Tahoma"/>
            <family val="2"/>
          </rPr>
          <t>SOLO NÚMEROS.
NO USE LETRAS NI PUNTOS DE MILES</t>
        </r>
      </text>
    </comment>
    <comment ref="C34" authorId="1" shapeId="0">
      <text>
        <r>
          <rPr>
            <b/>
            <sz val="9"/>
            <color indexed="81"/>
            <rFont val="Tahoma"/>
            <family val="2"/>
          </rPr>
          <t>TODO EN MAYUSCULAS. 
ESCRIBA AMBOS APELLIDOS Y AMBOS NOMBRES, EN CASO DE TENERLOS</t>
        </r>
      </text>
    </comment>
    <comment ref="E34" authorId="1" shapeId="0">
      <text>
        <r>
          <rPr>
            <b/>
            <sz val="9"/>
            <color indexed="81"/>
            <rFont val="Tahoma"/>
            <family val="2"/>
          </rPr>
          <t xml:space="preserve">TODO EN MAYÚSCULAS. 
ESTADO Y MUNICIPIO.
EJEMPLO: 
MIRANDA, GUAICAIPURO
</t>
        </r>
      </text>
    </comment>
    <comment ref="B35" authorId="0" shapeId="0">
      <text>
        <r>
          <rPr>
            <sz val="9"/>
            <color indexed="81"/>
            <rFont val="Tahoma"/>
            <family val="2"/>
          </rPr>
          <t>SOLO NÚMEROS.
NO USE LETRAS NI PUNTOS DE MILES</t>
        </r>
      </text>
    </comment>
    <comment ref="C35" authorId="1" shapeId="0">
      <text>
        <r>
          <rPr>
            <b/>
            <sz val="9"/>
            <color indexed="81"/>
            <rFont val="Tahoma"/>
            <family val="2"/>
          </rPr>
          <t>TODO EN MAYUSCULAS. 
ESCRIBA AMBOS APELLIDOS Y AMBOS NOMBRES, EN CASO DE TENERLOS</t>
        </r>
      </text>
    </comment>
    <comment ref="E35" authorId="1" shapeId="0">
      <text>
        <r>
          <rPr>
            <b/>
            <sz val="9"/>
            <color indexed="81"/>
            <rFont val="Tahoma"/>
            <family val="2"/>
          </rPr>
          <t xml:space="preserve">TODO EN MAYÚSCULAS. 
ESTADO Y MUNICIPIO.
EJEMPLO: 
MIRANDA, GUAICAIPURO
</t>
        </r>
      </text>
    </comment>
    <comment ref="B36" authorId="0" shapeId="0">
      <text>
        <r>
          <rPr>
            <sz val="9"/>
            <color indexed="81"/>
            <rFont val="Tahoma"/>
            <family val="2"/>
          </rPr>
          <t>SOLO NÚMEROS.
NO USE LETRAS NI PUNTOS DE MILES</t>
        </r>
      </text>
    </comment>
    <comment ref="C36" authorId="1" shapeId="0">
      <text>
        <r>
          <rPr>
            <b/>
            <sz val="9"/>
            <color indexed="81"/>
            <rFont val="Tahoma"/>
            <family val="2"/>
          </rPr>
          <t>TODO EN MAYUSCULAS. 
ESCRIBA AMBOS APELLIDOS Y AMBOS NOMBRES, EN CASO DE TENERLOS</t>
        </r>
      </text>
    </comment>
    <comment ref="E36" authorId="1" shapeId="0">
      <text>
        <r>
          <rPr>
            <b/>
            <sz val="9"/>
            <color indexed="81"/>
            <rFont val="Tahoma"/>
            <family val="2"/>
          </rPr>
          <t xml:space="preserve">TODO EN MAYÚSCULAS. 
ESTADO Y MUNICIPIO.
EJEMPLO: 
MIRANDA, GUAICAIPURO
</t>
        </r>
      </text>
    </comment>
    <comment ref="B37" authorId="0" shapeId="0">
      <text>
        <r>
          <rPr>
            <sz val="9"/>
            <color indexed="81"/>
            <rFont val="Tahoma"/>
            <family val="2"/>
          </rPr>
          <t>SOLO NÚMEROS.
NO USE LETRAS NI PUNTOS DE MILES</t>
        </r>
      </text>
    </comment>
    <comment ref="C37" authorId="1" shapeId="0">
      <text>
        <r>
          <rPr>
            <b/>
            <sz val="9"/>
            <color indexed="81"/>
            <rFont val="Tahoma"/>
            <family val="2"/>
          </rPr>
          <t>TODO EN MAYUSCULAS. 
ESCRIBA AMBOS APELLIDOS Y AMBOS NOMBRES, EN CASO DE TENERLOS</t>
        </r>
      </text>
    </comment>
    <comment ref="E37" authorId="1" shapeId="0">
      <text>
        <r>
          <rPr>
            <b/>
            <sz val="9"/>
            <color indexed="81"/>
            <rFont val="Tahoma"/>
            <family val="2"/>
          </rPr>
          <t xml:space="preserve">TODO EN MAYÚSCULAS. 
ESTADO Y MUNICIPIO.
EJEMPLO: 
MIRANDA, GUAICAIPURO
</t>
        </r>
      </text>
    </comment>
    <comment ref="B38" authorId="0" shapeId="0">
      <text>
        <r>
          <rPr>
            <sz val="9"/>
            <color indexed="81"/>
            <rFont val="Tahoma"/>
            <family val="2"/>
          </rPr>
          <t>SOLO NÚMEROS.
NO USE LETRAS NI PUNTOS DE MILES</t>
        </r>
      </text>
    </comment>
    <comment ref="C38" authorId="1" shapeId="0">
      <text>
        <r>
          <rPr>
            <b/>
            <sz val="9"/>
            <color indexed="81"/>
            <rFont val="Tahoma"/>
            <family val="2"/>
          </rPr>
          <t>TODO EN MAYUSCULAS. 
ESCRIBA AMBOS APELLIDOS Y AMBOS NOMBRES, EN CASO DE TENERLOS</t>
        </r>
      </text>
    </comment>
    <comment ref="E38" authorId="1" shapeId="0">
      <text>
        <r>
          <rPr>
            <b/>
            <sz val="9"/>
            <color indexed="81"/>
            <rFont val="Tahoma"/>
            <family val="2"/>
          </rPr>
          <t xml:space="preserve">TODO EN MAYÚSCULAS. 
ESTADO Y MUNICIPIO.
EJEMPLO: 
MIRANDA, GUAICAIPURO
</t>
        </r>
      </text>
    </comment>
    <comment ref="B39" authorId="0" shapeId="0">
      <text>
        <r>
          <rPr>
            <sz val="9"/>
            <color indexed="81"/>
            <rFont val="Tahoma"/>
            <family val="2"/>
          </rPr>
          <t>SOLO NÚMEROS.
NO USE LETRAS NI PUNTOS DE MILES</t>
        </r>
      </text>
    </comment>
    <comment ref="C39" authorId="1" shapeId="0">
      <text>
        <r>
          <rPr>
            <b/>
            <sz val="9"/>
            <color indexed="81"/>
            <rFont val="Tahoma"/>
            <family val="2"/>
          </rPr>
          <t>TODO EN MAYUSCULAS. 
ESCRIBA AMBOS APELLIDOS Y AMBOS NOMBRES, EN CASO DE TENERLOS</t>
        </r>
      </text>
    </comment>
    <comment ref="E39" authorId="1" shapeId="0">
      <text>
        <r>
          <rPr>
            <b/>
            <sz val="9"/>
            <color indexed="81"/>
            <rFont val="Tahoma"/>
            <family val="2"/>
          </rPr>
          <t xml:space="preserve">TODO EN MAYÚSCULAS. 
ESTADO Y MUNICIPIO.
EJEMPLO: 
MIRANDA, GUAICAIPURO
</t>
        </r>
      </text>
    </comment>
    <comment ref="B40" authorId="0" shapeId="0">
      <text>
        <r>
          <rPr>
            <sz val="9"/>
            <color indexed="81"/>
            <rFont val="Tahoma"/>
            <family val="2"/>
          </rPr>
          <t>SOLO NÚMEROS.
NO USE LETRAS NI PUNTOS DE MILES</t>
        </r>
      </text>
    </comment>
    <comment ref="C40" authorId="1" shapeId="0">
      <text>
        <r>
          <rPr>
            <b/>
            <sz val="9"/>
            <color indexed="81"/>
            <rFont val="Tahoma"/>
            <family val="2"/>
          </rPr>
          <t>TODO EN MAYUSCULAS. 
ESCRIBA AMBOS APELLIDOS Y AMBOS NOMBRES, EN CASO DE TENERLOS</t>
        </r>
      </text>
    </comment>
    <comment ref="E40" authorId="1" shapeId="0">
      <text>
        <r>
          <rPr>
            <b/>
            <sz val="9"/>
            <color indexed="81"/>
            <rFont val="Tahoma"/>
            <family val="2"/>
          </rPr>
          <t xml:space="preserve">TODO EN MAYÚSCULAS. 
ESTADO Y MUNICIPIO.
EJEMPLO: 
MIRANDA, GUAICAIPURO
</t>
        </r>
      </text>
    </comment>
    <comment ref="B41" authorId="0" shapeId="0">
      <text>
        <r>
          <rPr>
            <sz val="9"/>
            <color indexed="81"/>
            <rFont val="Tahoma"/>
            <family val="2"/>
          </rPr>
          <t>SOLO NÚMEROS.
NO USE LETRAS NI PUNTOS DE MILES</t>
        </r>
      </text>
    </comment>
    <comment ref="C41" authorId="1" shapeId="0">
      <text>
        <r>
          <rPr>
            <b/>
            <sz val="9"/>
            <color indexed="81"/>
            <rFont val="Tahoma"/>
            <family val="2"/>
          </rPr>
          <t>TODO EN MAYUSCULAS. 
ESCRIBA AMBOS APELLIDOS Y AMBOS NOMBRES, EN CASO DE TENERLOS</t>
        </r>
      </text>
    </comment>
    <comment ref="E41" authorId="1" shapeId="0">
      <text>
        <r>
          <rPr>
            <b/>
            <sz val="9"/>
            <color indexed="81"/>
            <rFont val="Tahoma"/>
            <family val="2"/>
          </rPr>
          <t xml:space="preserve">TODO EN MAYÚSCULAS. 
ESTADO Y MUNICIPIO.
EJEMPLO: 
MIRANDA, GUAICAIPURO
</t>
        </r>
      </text>
    </comment>
  </commentList>
</comments>
</file>

<file path=xl/comments2.xml><?xml version="1.0" encoding="utf-8"?>
<comments xmlns="http://schemas.openxmlformats.org/spreadsheetml/2006/main">
  <authors>
    <author>MGIRON</author>
  </authors>
  <commentList>
    <comment ref="B17" authorId="0" shapeId="0">
      <text>
        <r>
          <rPr>
            <b/>
            <sz val="9"/>
            <color indexed="81"/>
            <rFont val="Tahoma"/>
            <family val="2"/>
          </rPr>
          <t xml:space="preserve">TODO EN MAYUSCULAS.
PRIMER NOMBRE E INICIAL DEL SEGUNDO
PRIMER APELLIDO E INICIAL DEL SEGUNDO.
</t>
        </r>
      </text>
    </comment>
    <comment ref="E17" authorId="0" shapeId="0">
      <text>
        <r>
          <rPr>
            <sz val="9"/>
            <color indexed="81"/>
            <rFont val="Tahoma"/>
            <family val="2"/>
          </rPr>
          <t>SOLO NÚMERO. NO USE LETRAS NI PUNTOS DE MILES</t>
        </r>
      </text>
    </comment>
    <comment ref="B18" authorId="0" shapeId="0">
      <text>
        <r>
          <rPr>
            <b/>
            <sz val="9"/>
            <color indexed="81"/>
            <rFont val="Tahoma"/>
            <family val="2"/>
          </rPr>
          <t xml:space="preserve">TODO EN MAYUSCULAS.
PRIMER NOMBRE E INICIAL DEL SEGUNDO
PRIMER APELLIDO E INICIAL DEL SEGUNDO.
</t>
        </r>
      </text>
    </comment>
    <comment ref="E18" authorId="0" shapeId="0">
      <text>
        <r>
          <rPr>
            <sz val="9"/>
            <color indexed="81"/>
            <rFont val="Tahoma"/>
            <family val="2"/>
          </rPr>
          <t>SOLO NÚMERO. NO USE LETRAS NI PUNTOS DE MILES</t>
        </r>
      </text>
    </comment>
    <comment ref="B19" authorId="0" shapeId="0">
      <text>
        <r>
          <rPr>
            <b/>
            <sz val="9"/>
            <color indexed="81"/>
            <rFont val="Tahoma"/>
            <family val="2"/>
          </rPr>
          <t xml:space="preserve">TODO EN MAYUSCULAS.
PRIMER NOMBRE E INICIAL DEL SEGUNDO
PRIMER APELLIDO E INICIAL DEL SEGUNDO.
</t>
        </r>
      </text>
    </comment>
    <comment ref="E19" authorId="0" shapeId="0">
      <text>
        <r>
          <rPr>
            <sz val="9"/>
            <color indexed="81"/>
            <rFont val="Tahoma"/>
            <family val="2"/>
          </rPr>
          <t>SOLO NÚMERO. NO USE LETRAS NI PUNTOS DE MILES</t>
        </r>
      </text>
    </comment>
    <comment ref="B20" authorId="0" shapeId="0">
      <text>
        <r>
          <rPr>
            <b/>
            <sz val="9"/>
            <color indexed="81"/>
            <rFont val="Tahoma"/>
            <family val="2"/>
          </rPr>
          <t xml:space="preserve">TODO EN MAYUSCULAS.
PRIMER NOMBRE E INICIAL DEL SEGUNDO
PRIMER APELLIDO E INICIAL DEL SEGUNDO.
</t>
        </r>
      </text>
    </comment>
    <comment ref="E20" authorId="0" shapeId="0">
      <text>
        <r>
          <rPr>
            <sz val="9"/>
            <color indexed="81"/>
            <rFont val="Tahoma"/>
            <family val="2"/>
          </rPr>
          <t>SOLO NÚMERO. NO USE LETRAS NI PUNTOS DE MILES</t>
        </r>
      </text>
    </comment>
    <comment ref="B21" authorId="0" shapeId="0">
      <text>
        <r>
          <rPr>
            <b/>
            <sz val="9"/>
            <color indexed="81"/>
            <rFont val="Tahoma"/>
            <family val="2"/>
          </rPr>
          <t xml:space="preserve">TODO EN MAYUSCULAS.
PRIMER NOMBRE E INICIAL DEL SEGUNDO
PRIMER APELLIDO E INICIAL DEL SEGUNDO.
</t>
        </r>
      </text>
    </comment>
    <comment ref="E21" authorId="0" shapeId="0">
      <text>
        <r>
          <rPr>
            <sz val="9"/>
            <color indexed="81"/>
            <rFont val="Tahoma"/>
            <family val="2"/>
          </rPr>
          <t>SOLO NÚMERO. NO USE LETRAS NI PUNTOS DE MILES</t>
        </r>
      </text>
    </comment>
    <comment ref="B22" authorId="0" shapeId="0">
      <text>
        <r>
          <rPr>
            <b/>
            <sz val="9"/>
            <color indexed="81"/>
            <rFont val="Tahoma"/>
            <family val="2"/>
          </rPr>
          <t xml:space="preserve">TODO EN MAYUSCULAS.
PRIMER NOMBRE E INICIAL DEL SEGUNDO
PRIMER APELLIDO E INICIAL DEL SEGUNDO.
</t>
        </r>
      </text>
    </comment>
    <comment ref="E22" authorId="0" shapeId="0">
      <text>
        <r>
          <rPr>
            <sz val="9"/>
            <color indexed="81"/>
            <rFont val="Tahoma"/>
            <family val="2"/>
          </rPr>
          <t>SOLO NÚMERO. NO USE LETRAS NI PUNTOS DE MILES</t>
        </r>
      </text>
    </comment>
    <comment ref="B23" authorId="0" shapeId="0">
      <text>
        <r>
          <rPr>
            <b/>
            <sz val="9"/>
            <color indexed="81"/>
            <rFont val="Tahoma"/>
            <family val="2"/>
          </rPr>
          <t xml:space="preserve">TODO EN MAYUSCULAS.
PRIMER NOMBRE E INICIAL DEL SEGUNDO
PRIMER APELLIDO E INICIAL DEL SEGUNDO.
</t>
        </r>
      </text>
    </comment>
    <comment ref="E23" authorId="0" shapeId="0">
      <text>
        <r>
          <rPr>
            <sz val="9"/>
            <color indexed="81"/>
            <rFont val="Tahoma"/>
            <family val="2"/>
          </rPr>
          <t>SOLO NÚMERO. NO USE LETRAS NI PUNTOS DE MILES</t>
        </r>
      </text>
    </comment>
    <comment ref="B24" authorId="0" shapeId="0">
      <text>
        <r>
          <rPr>
            <b/>
            <sz val="9"/>
            <color indexed="81"/>
            <rFont val="Tahoma"/>
            <family val="2"/>
          </rPr>
          <t xml:space="preserve">TODO EN MAYUSCULAS.
PRIMER NOMBRE E INICIAL DEL SEGUNDO
PRIMER APELLIDO E INICIAL DEL SEGUNDO.
</t>
        </r>
      </text>
    </comment>
    <comment ref="E24" authorId="0" shapeId="0">
      <text>
        <r>
          <rPr>
            <sz val="9"/>
            <color indexed="81"/>
            <rFont val="Tahoma"/>
            <family val="2"/>
          </rPr>
          <t>SOLO NÚMERO. NO USE LETRAS NI PUNTOS DE MILES</t>
        </r>
      </text>
    </comment>
    <comment ref="B25" authorId="0" shapeId="0">
      <text>
        <r>
          <rPr>
            <b/>
            <sz val="9"/>
            <color indexed="81"/>
            <rFont val="Tahoma"/>
            <family val="2"/>
          </rPr>
          <t xml:space="preserve">TODO EN MAYUSCULAS.
PRIMER NOMBRE E INICIAL DEL SEGUNDO
PRIMER APELLIDO E INICIAL DEL SEGUNDO.
</t>
        </r>
      </text>
    </comment>
    <comment ref="E25" authorId="0" shapeId="0">
      <text>
        <r>
          <rPr>
            <sz val="9"/>
            <color indexed="81"/>
            <rFont val="Tahoma"/>
            <family val="2"/>
          </rPr>
          <t>SOLO NÚMERO. NO USE LETRAS NI PUNTOS DE MILES</t>
        </r>
      </text>
    </comment>
    <comment ref="B26" authorId="0" shapeId="0">
      <text>
        <r>
          <rPr>
            <b/>
            <sz val="9"/>
            <color indexed="81"/>
            <rFont val="Tahoma"/>
            <family val="2"/>
          </rPr>
          <t xml:space="preserve">TODO EN MAYUSCULAS.
PRIMER NOMBRE E INICIAL DEL SEGUNDO
PRIMER APELLIDO E INICIAL DEL SEGUNDO.
</t>
        </r>
      </text>
    </comment>
    <comment ref="E26" authorId="0" shapeId="0">
      <text>
        <r>
          <rPr>
            <sz val="9"/>
            <color indexed="81"/>
            <rFont val="Tahoma"/>
            <family val="2"/>
          </rPr>
          <t>SOLO NÚMERO. NO USE LETRAS NI PUNTOS DE MILES</t>
        </r>
      </text>
    </comment>
    <comment ref="B27" authorId="0" shapeId="0">
      <text>
        <r>
          <rPr>
            <b/>
            <sz val="9"/>
            <color indexed="81"/>
            <rFont val="Tahoma"/>
            <family val="2"/>
          </rPr>
          <t xml:space="preserve">TODO EN MAYUSCULAS.
PRIMER NOMBRE E INICIAL DEL SEGUNDO
PRIMER APELLIDO E INICIAL DEL SEGUNDO.
</t>
        </r>
      </text>
    </comment>
    <comment ref="E27" authorId="0" shapeId="0">
      <text>
        <r>
          <rPr>
            <sz val="9"/>
            <color indexed="81"/>
            <rFont val="Tahoma"/>
            <family val="2"/>
          </rPr>
          <t>SOLO NÚMERO. NO USE LETRAS NI PUNTOS DE MILES</t>
        </r>
      </text>
    </comment>
    <comment ref="B28" authorId="0" shapeId="0">
      <text>
        <r>
          <rPr>
            <b/>
            <sz val="9"/>
            <color indexed="81"/>
            <rFont val="Tahoma"/>
            <family val="2"/>
          </rPr>
          <t xml:space="preserve">TODO EN MAYUSCULAS.
PRIMER NOMBRE E INICIAL DEL SEGUNDO
PRIMER APELLIDO E INICIAL DEL SEGUNDO.
</t>
        </r>
      </text>
    </comment>
    <comment ref="E28" authorId="0" shapeId="0">
      <text>
        <r>
          <rPr>
            <sz val="9"/>
            <color indexed="81"/>
            <rFont val="Tahoma"/>
            <family val="2"/>
          </rPr>
          <t>SOLO NÚMERO. NO USE LETRAS NI PUNTOS DE MILES</t>
        </r>
      </text>
    </comment>
    <comment ref="B29" authorId="0" shapeId="0">
      <text>
        <r>
          <rPr>
            <b/>
            <sz val="9"/>
            <color indexed="81"/>
            <rFont val="Tahoma"/>
            <family val="2"/>
          </rPr>
          <t xml:space="preserve">TODO EN MAYUSCULAS.
PRIMER NOMBRE E INICIAL DEL SEGUNDO
PRIMER APELLIDO E INICIAL DEL SEGUNDO.
</t>
        </r>
      </text>
    </comment>
    <comment ref="E29" authorId="0" shapeId="0">
      <text>
        <r>
          <rPr>
            <sz val="9"/>
            <color indexed="81"/>
            <rFont val="Tahoma"/>
            <family val="2"/>
          </rPr>
          <t>SOLO NÚMERO. NO USE LETRAS NI PUNTOS DE MILES</t>
        </r>
      </text>
    </comment>
    <comment ref="B30" authorId="0" shapeId="0">
      <text>
        <r>
          <rPr>
            <b/>
            <sz val="9"/>
            <color indexed="81"/>
            <rFont val="Tahoma"/>
            <family val="2"/>
          </rPr>
          <t xml:space="preserve">TODO EN MAYUSCULAS.
PRIMER NOMBRE E INICIAL DEL SEGUNDO
PRIMER APELLIDO E INICIAL DEL SEGUNDO.
</t>
        </r>
      </text>
    </comment>
    <comment ref="E30" authorId="0" shapeId="0">
      <text>
        <r>
          <rPr>
            <sz val="9"/>
            <color indexed="81"/>
            <rFont val="Tahoma"/>
            <family val="2"/>
          </rPr>
          <t>SOLO NÚMERO. NO USE LETRAS NI PUNTOS DE MILES</t>
        </r>
      </text>
    </comment>
    <comment ref="B31" authorId="0" shapeId="0">
      <text>
        <r>
          <rPr>
            <b/>
            <sz val="9"/>
            <color indexed="81"/>
            <rFont val="Tahoma"/>
            <family val="2"/>
          </rPr>
          <t xml:space="preserve">TODO EN MAYUSCULAS.
PRIMER NOMBRE E INICIAL DEL SEGUNDO
PRIMER APELLIDO E INICIAL DEL SEGUNDO.
</t>
        </r>
      </text>
    </comment>
    <comment ref="E31" authorId="0" shapeId="0">
      <text>
        <r>
          <rPr>
            <sz val="9"/>
            <color indexed="81"/>
            <rFont val="Tahoma"/>
            <family val="2"/>
          </rPr>
          <t>SOLO NÚMERO. NO USE LETRAS NI PUNTOS DE MILES</t>
        </r>
      </text>
    </comment>
    <comment ref="B32" authorId="0" shapeId="0">
      <text>
        <r>
          <rPr>
            <b/>
            <sz val="9"/>
            <color indexed="81"/>
            <rFont val="Tahoma"/>
            <family val="2"/>
          </rPr>
          <t xml:space="preserve">TODO EN MAYUSCULAS.
PRIMER NOMBRE E INICIAL DEL SEGUNDO
PRIMER APELLIDO E INICIAL DEL SEGUNDO.
</t>
        </r>
      </text>
    </comment>
    <comment ref="E32" authorId="0" shapeId="0">
      <text>
        <r>
          <rPr>
            <sz val="9"/>
            <color indexed="81"/>
            <rFont val="Tahoma"/>
            <family val="2"/>
          </rPr>
          <t>SOLO NÚMERO. NO USE LETRAS NI PUNTOS DE MILES</t>
        </r>
      </text>
    </comment>
    <comment ref="B33" authorId="0" shapeId="0">
      <text>
        <r>
          <rPr>
            <b/>
            <sz val="9"/>
            <color indexed="81"/>
            <rFont val="Tahoma"/>
            <family val="2"/>
          </rPr>
          <t xml:space="preserve">TODO EN MAYUSCULAS.
PRIMER NOMBRE E INICIAL DEL SEGUNDO
PRIMER APELLIDO E INICIAL DEL SEGUNDO.
</t>
        </r>
      </text>
    </comment>
    <comment ref="E33" authorId="0" shapeId="0">
      <text>
        <r>
          <rPr>
            <sz val="9"/>
            <color indexed="81"/>
            <rFont val="Tahoma"/>
            <family val="2"/>
          </rPr>
          <t>SOLO NÚMERO. NO USE LETRAS NI PUNTOS DE MILES</t>
        </r>
      </text>
    </comment>
    <comment ref="B34" authorId="0" shapeId="0">
      <text>
        <r>
          <rPr>
            <b/>
            <sz val="9"/>
            <color indexed="81"/>
            <rFont val="Tahoma"/>
            <family val="2"/>
          </rPr>
          <t xml:space="preserve">TODO EN MAYUSCULAS.
PRIMER NOMBRE E INICIAL DEL SEGUNDO
PRIMER APELLIDO E INICIAL DEL SEGUNDO.
</t>
        </r>
      </text>
    </comment>
    <comment ref="E34" authorId="0" shapeId="0">
      <text>
        <r>
          <rPr>
            <sz val="9"/>
            <color indexed="81"/>
            <rFont val="Tahoma"/>
            <family val="2"/>
          </rPr>
          <t>SOLO NÚMERO. NO USE LETRAS NI PUNTOS DE MILES</t>
        </r>
      </text>
    </comment>
    <comment ref="B35" authorId="0" shapeId="0">
      <text>
        <r>
          <rPr>
            <b/>
            <sz val="9"/>
            <color indexed="81"/>
            <rFont val="Tahoma"/>
            <family val="2"/>
          </rPr>
          <t xml:space="preserve">TODO EN MAYUSCULAS.
PRIMER NOMBRE E INICIAL DEL SEGUNDO
PRIMER APELLIDO E INICIAL DEL SEGUNDO.
</t>
        </r>
      </text>
    </comment>
    <comment ref="E35" authorId="0" shapeId="0">
      <text>
        <r>
          <rPr>
            <sz val="9"/>
            <color indexed="81"/>
            <rFont val="Tahoma"/>
            <family val="2"/>
          </rPr>
          <t>SOLO NÚMERO. NO USE LETRAS NI PUNTOS DE MILES</t>
        </r>
      </text>
    </comment>
    <comment ref="B36" authorId="0" shapeId="0">
      <text>
        <r>
          <rPr>
            <b/>
            <sz val="9"/>
            <color indexed="81"/>
            <rFont val="Tahoma"/>
            <family val="2"/>
          </rPr>
          <t xml:space="preserve">TODO EN MAYUSCULAS.
PRIMER NOMBRE E INICIAL DEL SEGUNDO
PRIMER APELLIDO E INICIAL DEL SEGUNDO.
</t>
        </r>
      </text>
    </comment>
    <comment ref="E36" authorId="0" shapeId="0">
      <text>
        <r>
          <rPr>
            <sz val="9"/>
            <color indexed="81"/>
            <rFont val="Tahoma"/>
            <family val="2"/>
          </rPr>
          <t>SOLO NÚMERO. NO USE LETRAS NI PUNTOS DE MILES</t>
        </r>
      </text>
    </comment>
    <comment ref="B37" authorId="0" shapeId="0">
      <text>
        <r>
          <rPr>
            <b/>
            <sz val="9"/>
            <color indexed="81"/>
            <rFont val="Tahoma"/>
            <family val="2"/>
          </rPr>
          <t xml:space="preserve">TODO EN MAYUSCULAS.
PRIMER NOMBRE E INICIAL DEL SEGUNDO
PRIMER APELLIDO E INICIAL DEL SEGUNDO.
</t>
        </r>
      </text>
    </comment>
    <comment ref="E37" authorId="0" shapeId="0">
      <text>
        <r>
          <rPr>
            <sz val="9"/>
            <color indexed="81"/>
            <rFont val="Tahoma"/>
            <family val="2"/>
          </rPr>
          <t>SOLO NÚMERO. NO USE LETRAS NI PUNTOS DE MILES</t>
        </r>
      </text>
    </comment>
    <comment ref="B38" authorId="0" shapeId="0">
      <text>
        <r>
          <rPr>
            <b/>
            <sz val="9"/>
            <color indexed="81"/>
            <rFont val="Tahoma"/>
            <family val="2"/>
          </rPr>
          <t xml:space="preserve">TODO EN MAYUSCULAS.
PRIMER NOMBRE E INICIAL DEL SEGUNDO
PRIMER APELLIDO E INICIAL DEL SEGUNDO.
</t>
        </r>
      </text>
    </comment>
    <comment ref="E38" authorId="0" shapeId="0">
      <text>
        <r>
          <rPr>
            <sz val="9"/>
            <color indexed="81"/>
            <rFont val="Tahoma"/>
            <family val="2"/>
          </rPr>
          <t>SOLO NÚMERO. NO USE LETRAS NI PUNTOS DE MILES</t>
        </r>
      </text>
    </comment>
    <comment ref="B39" authorId="0" shapeId="0">
      <text>
        <r>
          <rPr>
            <b/>
            <sz val="9"/>
            <color indexed="81"/>
            <rFont val="Tahoma"/>
            <family val="2"/>
          </rPr>
          <t xml:space="preserve">TODO EN MAYUSCULAS.
PRIMER NOMBRE E INICIAL DEL SEGUNDO
PRIMER APELLIDO E INICIAL DEL SEGUNDO.
</t>
        </r>
      </text>
    </comment>
    <comment ref="E39" authorId="0" shapeId="0">
      <text>
        <r>
          <rPr>
            <sz val="9"/>
            <color indexed="81"/>
            <rFont val="Tahoma"/>
            <family val="2"/>
          </rPr>
          <t>SOLO NÚMERO. NO USE LETRAS NI PUNTOS DE MILES</t>
        </r>
      </text>
    </comment>
    <comment ref="B40" authorId="0" shapeId="0">
      <text>
        <r>
          <rPr>
            <b/>
            <sz val="9"/>
            <color indexed="81"/>
            <rFont val="Tahoma"/>
            <family val="2"/>
          </rPr>
          <t xml:space="preserve">TODO EN MAYUSCULAS.
PRIMER NOMBRE E INICIAL DEL SEGUNDO
PRIMER APELLIDO E INICIAL DEL SEGUNDO.
</t>
        </r>
      </text>
    </comment>
    <comment ref="E40" authorId="0" shapeId="0">
      <text>
        <r>
          <rPr>
            <sz val="9"/>
            <color indexed="81"/>
            <rFont val="Tahoma"/>
            <family val="2"/>
          </rPr>
          <t>SOLO NÚMERO. NO USE LETRAS NI PUNTOS DE MILES</t>
        </r>
      </text>
    </comment>
    <comment ref="B41" authorId="0" shapeId="0">
      <text>
        <r>
          <rPr>
            <b/>
            <sz val="9"/>
            <color indexed="81"/>
            <rFont val="Tahoma"/>
            <family val="2"/>
          </rPr>
          <t xml:space="preserve">TODO EN MAYUSCULAS.
PRIMER NOMBRE E INICIAL DEL SEGUNDO
PRIMER APELLIDO E INICIAL DEL SEGUNDO.
</t>
        </r>
      </text>
    </comment>
    <comment ref="E41" authorId="0" shapeId="0">
      <text>
        <r>
          <rPr>
            <sz val="9"/>
            <color indexed="81"/>
            <rFont val="Tahoma"/>
            <family val="2"/>
          </rPr>
          <t>SOLO NÚMERO. NO USE LETRAS NI PUNTOS DE MILES</t>
        </r>
      </text>
    </comment>
    <comment ref="B42" authorId="0" shapeId="0">
      <text>
        <r>
          <rPr>
            <b/>
            <sz val="9"/>
            <color indexed="81"/>
            <rFont val="Tahoma"/>
            <family val="2"/>
          </rPr>
          <t xml:space="preserve">TODO EN MAYUSCULAS.
PRIMER NOMBRE E INICIAL DEL SEGUNDO
PRIMER APELLIDO E INICIAL DEL SEGUNDO.
</t>
        </r>
      </text>
    </comment>
    <comment ref="E42" authorId="0" shapeId="0">
      <text>
        <r>
          <rPr>
            <sz val="9"/>
            <color indexed="81"/>
            <rFont val="Tahoma"/>
            <family val="2"/>
          </rPr>
          <t>SOLO NÚMERO. NO USE LETRAS NI PUNTOS DE MILES</t>
        </r>
      </text>
    </comment>
    <comment ref="B43" authorId="0" shapeId="0">
      <text>
        <r>
          <rPr>
            <b/>
            <sz val="9"/>
            <color indexed="81"/>
            <rFont val="Tahoma"/>
            <family val="2"/>
          </rPr>
          <t xml:space="preserve">TODO EN MAYUSCULAS.
PRIMER NOMBRE E INICIAL DEL SEGUNDO
PRIMER APELLIDO E INICIAL DEL SEGUNDO.
</t>
        </r>
      </text>
    </comment>
    <comment ref="E43" authorId="0" shapeId="0">
      <text>
        <r>
          <rPr>
            <sz val="9"/>
            <color indexed="81"/>
            <rFont val="Tahoma"/>
            <family val="2"/>
          </rPr>
          <t>SOLO NÚMERO. NO USE LETRAS NI PUNTOS DE MILES</t>
        </r>
      </text>
    </comment>
    <comment ref="B44" authorId="0" shapeId="0">
      <text>
        <r>
          <rPr>
            <b/>
            <sz val="9"/>
            <color indexed="81"/>
            <rFont val="Tahoma"/>
            <family val="2"/>
          </rPr>
          <t xml:space="preserve">TODO EN MAYUSCULAS.
PRIMER NOMBRE E INICIAL DEL SEGUNDO
PRIMER APELLIDO E INICIAL DEL SEGUNDO.
</t>
        </r>
      </text>
    </comment>
    <comment ref="E44" authorId="0" shapeId="0">
      <text>
        <r>
          <rPr>
            <sz val="9"/>
            <color indexed="81"/>
            <rFont val="Tahoma"/>
            <family val="2"/>
          </rPr>
          <t>SOLO NÚMERO. NO USE LETRAS NI PUNTOS DE MILES</t>
        </r>
      </text>
    </comment>
    <comment ref="B45" authorId="0" shapeId="0">
      <text>
        <r>
          <rPr>
            <b/>
            <sz val="9"/>
            <color indexed="81"/>
            <rFont val="Tahoma"/>
            <family val="2"/>
          </rPr>
          <t xml:space="preserve">TODO EN MAYUSCULAS.
PRIMER NOMBRE E INICIAL DEL SEGUNDO
PRIMER APELLIDO E INICIAL DEL SEGUNDO.
</t>
        </r>
      </text>
    </comment>
    <comment ref="E45" authorId="0" shapeId="0">
      <text>
        <r>
          <rPr>
            <sz val="9"/>
            <color indexed="81"/>
            <rFont val="Tahoma"/>
            <family val="2"/>
          </rPr>
          <t>SOLO NÚMERO. NO USE LETRAS NI PUNTOS DE MILES</t>
        </r>
      </text>
    </comment>
    <comment ref="B46" authorId="0" shapeId="0">
      <text>
        <r>
          <rPr>
            <b/>
            <sz val="9"/>
            <color indexed="81"/>
            <rFont val="Tahoma"/>
            <family val="2"/>
          </rPr>
          <t xml:space="preserve">TODO EN MAYUSCULAS.
PRIMER NOMBRE E INICIAL DEL SEGUNDO
PRIMER APELLIDO E INICIAL DEL SEGUNDO.
</t>
        </r>
      </text>
    </comment>
    <comment ref="E46" authorId="0" shapeId="0">
      <text>
        <r>
          <rPr>
            <sz val="9"/>
            <color indexed="81"/>
            <rFont val="Tahoma"/>
            <family val="2"/>
          </rPr>
          <t>SOLO NÚMERO. NO USE LETRAS NI PUNTOS DE MILES</t>
        </r>
      </text>
    </comment>
    <comment ref="B47" authorId="0" shapeId="0">
      <text>
        <r>
          <rPr>
            <b/>
            <sz val="9"/>
            <color indexed="81"/>
            <rFont val="Tahoma"/>
            <family val="2"/>
          </rPr>
          <t xml:space="preserve">TODO EN MAYUSCULAS.
PRIMER NOMBRE E INICIAL DEL SEGUNDO
PRIMER APELLIDO E INICIAL DEL SEGUNDO.
</t>
        </r>
      </text>
    </comment>
    <comment ref="E47" authorId="0" shapeId="0">
      <text>
        <r>
          <rPr>
            <sz val="9"/>
            <color indexed="81"/>
            <rFont val="Tahoma"/>
            <family val="2"/>
          </rPr>
          <t>SOLO NÚMERO. NO USE LETRAS NI PUNTOS DE MILES</t>
        </r>
      </text>
    </comment>
    <comment ref="B48" authorId="0" shapeId="0">
      <text>
        <r>
          <rPr>
            <b/>
            <sz val="9"/>
            <color indexed="81"/>
            <rFont val="Tahoma"/>
            <family val="2"/>
          </rPr>
          <t xml:space="preserve">TODO EN MAYUSCULAS.
PRIMER NOMBRE E INICIAL DEL SEGUNDO
PRIMER APELLIDO E INICIAL DEL SEGUNDO.
</t>
        </r>
      </text>
    </comment>
    <comment ref="E48" authorId="0" shapeId="0">
      <text>
        <r>
          <rPr>
            <sz val="9"/>
            <color indexed="81"/>
            <rFont val="Tahoma"/>
            <family val="2"/>
          </rPr>
          <t>SOLO NÚMERO. NO USE LETRAS NI PUNTOS DE MILES</t>
        </r>
      </text>
    </comment>
    <comment ref="B49" authorId="0" shapeId="0">
      <text>
        <r>
          <rPr>
            <b/>
            <sz val="9"/>
            <color indexed="81"/>
            <rFont val="Tahoma"/>
            <family val="2"/>
          </rPr>
          <t xml:space="preserve">TODO EN MAYUSCULAS.
PRIMER NOMBRE E INICIAL DEL SEGUNDO
PRIMER APELLIDO E INICIAL DEL SEGUNDO.
</t>
        </r>
      </text>
    </comment>
    <comment ref="E49" authorId="0" shapeId="0">
      <text>
        <r>
          <rPr>
            <sz val="9"/>
            <color indexed="81"/>
            <rFont val="Tahoma"/>
            <family val="2"/>
          </rPr>
          <t>SOLO NÚMERO. NO USE LETRAS NI PUNTOS DE MILES</t>
        </r>
      </text>
    </comment>
    <comment ref="B50" authorId="0" shapeId="0">
      <text>
        <r>
          <rPr>
            <b/>
            <sz val="9"/>
            <color indexed="81"/>
            <rFont val="Tahoma"/>
            <family val="2"/>
          </rPr>
          <t xml:space="preserve">TODO EN MAYUSCULAS.
PRIMER NOMBRE E INICIAL DEL SEGUNDO
PRIMER APELLIDO E INICIAL DEL SEGUNDO.
</t>
        </r>
      </text>
    </comment>
    <comment ref="E50" authorId="0" shapeId="0">
      <text>
        <r>
          <rPr>
            <sz val="9"/>
            <color indexed="81"/>
            <rFont val="Tahoma"/>
            <family val="2"/>
          </rPr>
          <t>SOLO NÚMERO. NO USE LETRAS NI PUNTOS DE MILES</t>
        </r>
      </text>
    </comment>
    <comment ref="B51" authorId="0" shapeId="0">
      <text>
        <r>
          <rPr>
            <b/>
            <sz val="9"/>
            <color indexed="81"/>
            <rFont val="Tahoma"/>
            <family val="2"/>
          </rPr>
          <t xml:space="preserve">TODO EN MAYUSCULAS.
PRIMER NOMBRE E INICIAL DEL SEGUNDO
PRIMER APELLIDO E INICIAL DEL SEGUNDO.
</t>
        </r>
      </text>
    </comment>
    <comment ref="E51" authorId="0" shapeId="0">
      <text>
        <r>
          <rPr>
            <sz val="9"/>
            <color indexed="81"/>
            <rFont val="Tahoma"/>
            <family val="2"/>
          </rPr>
          <t>SOLO NÚMERO. NO USE LETRAS NI PUNTOS DE MILES</t>
        </r>
      </text>
    </comment>
    <comment ref="B52" authorId="0" shapeId="0">
      <text>
        <r>
          <rPr>
            <b/>
            <sz val="9"/>
            <color indexed="81"/>
            <rFont val="Tahoma"/>
            <family val="2"/>
          </rPr>
          <t xml:space="preserve">TODO EN MAYUSCULAS.
PRIMER NOMBRE E INICIAL DEL SEGUNDO
PRIMER APELLIDO E INICIAL DEL SEGUNDO.
</t>
        </r>
      </text>
    </comment>
    <comment ref="E52" authorId="0" shapeId="0">
      <text>
        <r>
          <rPr>
            <sz val="9"/>
            <color indexed="81"/>
            <rFont val="Tahoma"/>
            <family val="2"/>
          </rPr>
          <t>SOLO NÚMERO. NO USE LETRAS NI PUNTOS DE MILES</t>
        </r>
      </text>
    </comment>
    <comment ref="B53" authorId="0" shapeId="0">
      <text>
        <r>
          <rPr>
            <b/>
            <sz val="9"/>
            <color indexed="81"/>
            <rFont val="Tahoma"/>
            <family val="2"/>
          </rPr>
          <t xml:space="preserve">TODO EN MAYUSCULAS.
PRIMER NOMBRE E INICIAL DEL SEGUNDO
PRIMER APELLIDO E INICIAL DEL SEGUNDO.
</t>
        </r>
      </text>
    </comment>
    <comment ref="E53" authorId="0" shapeId="0">
      <text>
        <r>
          <rPr>
            <sz val="9"/>
            <color indexed="81"/>
            <rFont val="Tahoma"/>
            <family val="2"/>
          </rPr>
          <t>SOLO NÚMERO. NO USE LETRAS NI PUNTOS DE MILES</t>
        </r>
      </text>
    </comment>
    <comment ref="B54" authorId="0" shapeId="0">
      <text>
        <r>
          <rPr>
            <b/>
            <sz val="9"/>
            <color indexed="81"/>
            <rFont val="Tahoma"/>
            <family val="2"/>
          </rPr>
          <t xml:space="preserve">TODO EN MAYUSCULAS.
PRIMER NOMBRE E INICIAL DEL SEGUNDO
PRIMER APELLIDO E INICIAL DEL SEGUNDO.
</t>
        </r>
      </text>
    </comment>
    <comment ref="E54" authorId="0" shapeId="0">
      <text>
        <r>
          <rPr>
            <sz val="9"/>
            <color indexed="81"/>
            <rFont val="Tahoma"/>
            <family val="2"/>
          </rPr>
          <t>SOLO NÚMERO. NO USE LETRAS NI PUNTOS DE MILES</t>
        </r>
      </text>
    </comment>
    <comment ref="B55" authorId="0" shapeId="0">
      <text>
        <r>
          <rPr>
            <b/>
            <sz val="9"/>
            <color indexed="81"/>
            <rFont val="Tahoma"/>
            <family val="2"/>
          </rPr>
          <t xml:space="preserve">TODO EN MAYUSCULAS.
PRIMER NOMBRE E INICIAL DEL SEGUNDO
PRIMER APELLIDO E INICIAL DEL SEGUNDO.
</t>
        </r>
      </text>
    </comment>
    <comment ref="E55" authorId="0" shapeId="0">
      <text>
        <r>
          <rPr>
            <sz val="9"/>
            <color indexed="81"/>
            <rFont val="Tahoma"/>
            <family val="2"/>
          </rPr>
          <t>SOLO NÚMERO. NO USE LETRAS NI PUNTOS DE MILES</t>
        </r>
      </text>
    </comment>
    <comment ref="B56" authorId="0" shapeId="0">
      <text>
        <r>
          <rPr>
            <b/>
            <sz val="9"/>
            <color indexed="81"/>
            <rFont val="Tahoma"/>
            <family val="2"/>
          </rPr>
          <t xml:space="preserve">TODO EN MAYUSCULAS.
PRIMER NOMBRE E INICIAL DEL SEGUNDO
PRIMER APELLIDO E INICIAL DEL SEGUNDO.
</t>
        </r>
      </text>
    </comment>
    <comment ref="E56" authorId="0" shapeId="0">
      <text>
        <r>
          <rPr>
            <sz val="9"/>
            <color indexed="81"/>
            <rFont val="Tahoma"/>
            <family val="2"/>
          </rPr>
          <t>SOLO NÚMERO. NO USE LETRAS NI PUNTOS DE MILES</t>
        </r>
      </text>
    </comment>
  </commentList>
</comments>
</file>

<file path=xl/comments3.xml><?xml version="1.0" encoding="utf-8"?>
<comments xmlns="http://schemas.openxmlformats.org/spreadsheetml/2006/main">
  <authors>
    <author>MGIRON</author>
  </authors>
  <commentList>
    <comment ref="B17" authorId="0" shapeId="0">
      <text>
        <r>
          <rPr>
            <b/>
            <sz val="9"/>
            <color indexed="81"/>
            <rFont val="Tahoma"/>
            <family val="2"/>
          </rPr>
          <t xml:space="preserve">TODO EN MAYUSCULAS.
PRIMER NOMBRE E INICIAL DEL SEGUNDO
PRIMER APELLIDO E INICIAL DEL SEGUNDO.
</t>
        </r>
      </text>
    </comment>
    <comment ref="E17" authorId="0" shapeId="0">
      <text>
        <r>
          <rPr>
            <sz val="9"/>
            <color indexed="81"/>
            <rFont val="Tahoma"/>
            <family val="2"/>
          </rPr>
          <t>SOLO NÚMERO. NO USE LETRAS NI PUNTOS DE MILES</t>
        </r>
      </text>
    </comment>
    <comment ref="B18" authorId="0" shapeId="0">
      <text>
        <r>
          <rPr>
            <b/>
            <sz val="9"/>
            <color indexed="81"/>
            <rFont val="Tahoma"/>
            <family val="2"/>
          </rPr>
          <t xml:space="preserve">TODO EN MAYUSCULAS.
PRIMER NOMBRE E INICIAL DEL SEGUNDO
PRIMER APELLIDO E INICIAL DEL SEGUNDO.
</t>
        </r>
      </text>
    </comment>
    <comment ref="E18" authorId="0" shapeId="0">
      <text>
        <r>
          <rPr>
            <sz val="9"/>
            <color indexed="81"/>
            <rFont val="Tahoma"/>
            <family val="2"/>
          </rPr>
          <t>SOLO NÚMERO. NO USE LETRAS NI PUNTOS DE MILES</t>
        </r>
      </text>
    </comment>
    <comment ref="B19" authorId="0" shapeId="0">
      <text>
        <r>
          <rPr>
            <b/>
            <sz val="9"/>
            <color indexed="81"/>
            <rFont val="Tahoma"/>
            <family val="2"/>
          </rPr>
          <t xml:space="preserve">TODO EN MAYUSCULAS.
PRIMER NOMBRE E INICIAL DEL SEGUNDO
PRIMER APELLIDO E INICIAL DEL SEGUNDO.
</t>
        </r>
      </text>
    </comment>
    <comment ref="E19" authorId="0" shapeId="0">
      <text>
        <r>
          <rPr>
            <sz val="9"/>
            <color indexed="81"/>
            <rFont val="Tahoma"/>
            <family val="2"/>
          </rPr>
          <t>SOLO NÚMERO. NO USE LETRAS NI PUNTOS DE MILES</t>
        </r>
      </text>
    </comment>
    <comment ref="B20" authorId="0" shapeId="0">
      <text>
        <r>
          <rPr>
            <b/>
            <sz val="9"/>
            <color indexed="81"/>
            <rFont val="Tahoma"/>
            <family val="2"/>
          </rPr>
          <t xml:space="preserve">TODO EN MAYUSCULAS.
PRIMER NOMBRE E INICIAL DEL SEGUNDO
PRIMER APELLIDO E INICIAL DEL SEGUNDO.
</t>
        </r>
      </text>
    </comment>
    <comment ref="E20" authorId="0" shapeId="0">
      <text>
        <r>
          <rPr>
            <sz val="9"/>
            <color indexed="81"/>
            <rFont val="Tahoma"/>
            <family val="2"/>
          </rPr>
          <t>SOLO NÚMERO. NO USE LETRAS NI PUNTOS DE MILES</t>
        </r>
      </text>
    </comment>
    <comment ref="B21" authorId="0" shapeId="0">
      <text>
        <r>
          <rPr>
            <b/>
            <sz val="9"/>
            <color indexed="81"/>
            <rFont val="Tahoma"/>
            <family val="2"/>
          </rPr>
          <t xml:space="preserve">TODO EN MAYUSCULAS.
PRIMER NOMBRE E INICIAL DEL SEGUNDO
PRIMER APELLIDO E INICIAL DEL SEGUNDO.
</t>
        </r>
      </text>
    </comment>
    <comment ref="E21" authorId="0" shapeId="0">
      <text>
        <r>
          <rPr>
            <sz val="9"/>
            <color indexed="81"/>
            <rFont val="Tahoma"/>
            <family val="2"/>
          </rPr>
          <t>SOLO NÚMERO. NO USE LETRAS NI PUNTOS DE MILES</t>
        </r>
      </text>
    </comment>
    <comment ref="B22" authorId="0" shapeId="0">
      <text>
        <r>
          <rPr>
            <b/>
            <sz val="9"/>
            <color indexed="81"/>
            <rFont val="Tahoma"/>
            <family val="2"/>
          </rPr>
          <t xml:space="preserve">TODO EN MAYUSCULAS.
PRIMER NOMBRE E INICIAL DEL SEGUNDO
PRIMER APELLIDO E INICIAL DEL SEGUNDO.
</t>
        </r>
      </text>
    </comment>
    <comment ref="E22" authorId="0" shapeId="0">
      <text>
        <r>
          <rPr>
            <sz val="9"/>
            <color indexed="81"/>
            <rFont val="Tahoma"/>
            <family val="2"/>
          </rPr>
          <t>SOLO NÚMERO. NO USE LETRAS NI PUNTOS DE MILES</t>
        </r>
      </text>
    </comment>
    <comment ref="B23" authorId="0" shapeId="0">
      <text>
        <r>
          <rPr>
            <b/>
            <sz val="9"/>
            <color indexed="81"/>
            <rFont val="Tahoma"/>
            <family val="2"/>
          </rPr>
          <t xml:space="preserve">TODO EN MAYUSCULAS.
PRIMER NOMBRE E INICIAL DEL SEGUNDO
PRIMER APELLIDO E INICIAL DEL SEGUNDO.
</t>
        </r>
      </text>
    </comment>
    <comment ref="E23" authorId="0" shapeId="0">
      <text>
        <r>
          <rPr>
            <sz val="9"/>
            <color indexed="81"/>
            <rFont val="Tahoma"/>
            <family val="2"/>
          </rPr>
          <t>SOLO NÚMERO. NO USE LETRAS NI PUNTOS DE MILES</t>
        </r>
      </text>
    </comment>
    <comment ref="B24" authorId="0" shapeId="0">
      <text>
        <r>
          <rPr>
            <b/>
            <sz val="9"/>
            <color indexed="81"/>
            <rFont val="Tahoma"/>
            <family val="2"/>
          </rPr>
          <t xml:space="preserve">TODO EN MAYUSCULAS.
PRIMER NOMBRE E INICIAL DEL SEGUNDO
PRIMER APELLIDO E INICIAL DEL SEGUNDO.
</t>
        </r>
      </text>
    </comment>
    <comment ref="E24" authorId="0" shapeId="0">
      <text>
        <r>
          <rPr>
            <sz val="9"/>
            <color indexed="81"/>
            <rFont val="Tahoma"/>
            <family val="2"/>
          </rPr>
          <t>SOLO NÚMERO. NO USE LETRAS NI PUNTOS DE MILES</t>
        </r>
      </text>
    </comment>
    <comment ref="B25" authorId="0" shapeId="0">
      <text>
        <r>
          <rPr>
            <b/>
            <sz val="9"/>
            <color indexed="81"/>
            <rFont val="Tahoma"/>
            <family val="2"/>
          </rPr>
          <t xml:space="preserve">TODO EN MAYUSCULAS.
PRIMER NOMBRE E INICIAL DEL SEGUNDO
PRIMER APELLIDO E INICIAL DEL SEGUNDO.
</t>
        </r>
      </text>
    </comment>
    <comment ref="E25" authorId="0" shapeId="0">
      <text>
        <r>
          <rPr>
            <sz val="9"/>
            <color indexed="81"/>
            <rFont val="Tahoma"/>
            <family val="2"/>
          </rPr>
          <t>SOLO NÚMERO. NO USE LETRAS NI PUNTOS DE MILES</t>
        </r>
      </text>
    </comment>
    <comment ref="B26" authorId="0" shapeId="0">
      <text>
        <r>
          <rPr>
            <b/>
            <sz val="9"/>
            <color indexed="81"/>
            <rFont val="Tahoma"/>
            <family val="2"/>
          </rPr>
          <t xml:space="preserve">TODO EN MAYUSCULAS.
PRIMER NOMBRE E INICIAL DEL SEGUNDO
PRIMER APELLIDO E INICIAL DEL SEGUNDO.
</t>
        </r>
      </text>
    </comment>
    <comment ref="E26" authorId="0" shapeId="0">
      <text>
        <r>
          <rPr>
            <sz val="9"/>
            <color indexed="81"/>
            <rFont val="Tahoma"/>
            <family val="2"/>
          </rPr>
          <t>SOLO NÚMERO. NO USE LETRAS NI PUNTOS DE MILES</t>
        </r>
      </text>
    </comment>
    <comment ref="B27" authorId="0" shapeId="0">
      <text>
        <r>
          <rPr>
            <b/>
            <sz val="9"/>
            <color indexed="81"/>
            <rFont val="Tahoma"/>
            <family val="2"/>
          </rPr>
          <t xml:space="preserve">TODO EN MAYUSCULAS.
PRIMER NOMBRE E INICIAL DEL SEGUNDO
PRIMER APELLIDO E INICIAL DEL SEGUNDO.
</t>
        </r>
      </text>
    </comment>
    <comment ref="E27" authorId="0" shapeId="0">
      <text>
        <r>
          <rPr>
            <sz val="9"/>
            <color indexed="81"/>
            <rFont val="Tahoma"/>
            <family val="2"/>
          </rPr>
          <t>SOLO NÚMERO. NO USE LETRAS NI PUNTOS DE MILES</t>
        </r>
      </text>
    </comment>
    <comment ref="B28" authorId="0" shapeId="0">
      <text>
        <r>
          <rPr>
            <b/>
            <sz val="9"/>
            <color indexed="81"/>
            <rFont val="Tahoma"/>
            <family val="2"/>
          </rPr>
          <t xml:space="preserve">TODO EN MAYUSCULAS.
PRIMER NOMBRE E INICIAL DEL SEGUNDO
PRIMER APELLIDO E INICIAL DEL SEGUNDO.
</t>
        </r>
      </text>
    </comment>
    <comment ref="E28" authorId="0" shapeId="0">
      <text>
        <r>
          <rPr>
            <sz val="9"/>
            <color indexed="81"/>
            <rFont val="Tahoma"/>
            <family val="2"/>
          </rPr>
          <t>SOLO NÚMERO. NO USE LETRAS NI PUNTOS DE MILES</t>
        </r>
      </text>
    </comment>
    <comment ref="B29" authorId="0" shapeId="0">
      <text>
        <r>
          <rPr>
            <b/>
            <sz val="9"/>
            <color indexed="81"/>
            <rFont val="Tahoma"/>
            <family val="2"/>
          </rPr>
          <t xml:space="preserve">TODO EN MAYUSCULAS.
PRIMER NOMBRE E INICIAL DEL SEGUNDO
PRIMER APELLIDO E INICIAL DEL SEGUNDO.
</t>
        </r>
      </text>
    </comment>
    <comment ref="E29" authorId="0" shapeId="0">
      <text>
        <r>
          <rPr>
            <sz val="9"/>
            <color indexed="81"/>
            <rFont val="Tahoma"/>
            <family val="2"/>
          </rPr>
          <t>SOLO NÚMERO. NO USE LETRAS NI PUNTOS DE MILES</t>
        </r>
      </text>
    </comment>
    <comment ref="B30" authorId="0" shapeId="0">
      <text>
        <r>
          <rPr>
            <b/>
            <sz val="9"/>
            <color indexed="81"/>
            <rFont val="Tahoma"/>
            <family val="2"/>
          </rPr>
          <t xml:space="preserve">TODO EN MAYUSCULAS.
PRIMER NOMBRE E INICIAL DEL SEGUNDO
PRIMER APELLIDO E INICIAL DEL SEGUNDO.
</t>
        </r>
      </text>
    </comment>
    <comment ref="E30" authorId="0" shapeId="0">
      <text>
        <r>
          <rPr>
            <sz val="9"/>
            <color indexed="81"/>
            <rFont val="Tahoma"/>
            <family val="2"/>
          </rPr>
          <t>SOLO NÚMERO. NO USE LETRAS NI PUNTOS DE MILES</t>
        </r>
      </text>
    </comment>
    <comment ref="B31" authorId="0" shapeId="0">
      <text>
        <r>
          <rPr>
            <b/>
            <sz val="9"/>
            <color indexed="81"/>
            <rFont val="Tahoma"/>
            <family val="2"/>
          </rPr>
          <t xml:space="preserve">TODO EN MAYUSCULAS.
PRIMER NOMBRE E INICIAL DEL SEGUNDO
PRIMER APELLIDO E INICIAL DEL SEGUNDO.
</t>
        </r>
      </text>
    </comment>
    <comment ref="E31" authorId="0" shapeId="0">
      <text>
        <r>
          <rPr>
            <sz val="9"/>
            <color indexed="81"/>
            <rFont val="Tahoma"/>
            <family val="2"/>
          </rPr>
          <t>SOLO NÚMERO. NO USE LETRAS NI PUNTOS DE MILES</t>
        </r>
      </text>
    </comment>
    <comment ref="B32" authorId="0" shapeId="0">
      <text>
        <r>
          <rPr>
            <b/>
            <sz val="9"/>
            <color indexed="81"/>
            <rFont val="Tahoma"/>
            <family val="2"/>
          </rPr>
          <t xml:space="preserve">TODO EN MAYUSCULAS.
PRIMER NOMBRE E INICIAL DEL SEGUNDO
PRIMER APELLIDO E INICIAL DEL SEGUNDO.
</t>
        </r>
      </text>
    </comment>
    <comment ref="E32" authorId="0" shapeId="0">
      <text>
        <r>
          <rPr>
            <sz val="9"/>
            <color indexed="81"/>
            <rFont val="Tahoma"/>
            <family val="2"/>
          </rPr>
          <t>SOLO NÚMERO. NO USE LETRAS NI PUNTOS DE MILES</t>
        </r>
      </text>
    </comment>
    <comment ref="B33" authorId="0" shapeId="0">
      <text>
        <r>
          <rPr>
            <b/>
            <sz val="9"/>
            <color indexed="81"/>
            <rFont val="Tahoma"/>
            <family val="2"/>
          </rPr>
          <t xml:space="preserve">TODO EN MAYUSCULAS.
PRIMER NOMBRE E INICIAL DEL SEGUNDO
PRIMER APELLIDO E INICIAL DEL SEGUNDO.
</t>
        </r>
      </text>
    </comment>
    <comment ref="E33" authorId="0" shapeId="0">
      <text>
        <r>
          <rPr>
            <sz val="9"/>
            <color indexed="81"/>
            <rFont val="Tahoma"/>
            <family val="2"/>
          </rPr>
          <t>SOLO NÚMERO. NO USE LETRAS NI PUNTOS DE MILES</t>
        </r>
      </text>
    </comment>
    <comment ref="B34" authorId="0" shapeId="0">
      <text>
        <r>
          <rPr>
            <b/>
            <sz val="9"/>
            <color indexed="81"/>
            <rFont val="Tahoma"/>
            <family val="2"/>
          </rPr>
          <t xml:space="preserve">TODO EN MAYUSCULAS.
PRIMER NOMBRE E INICIAL DEL SEGUNDO
PRIMER APELLIDO E INICIAL DEL SEGUNDO.
</t>
        </r>
      </text>
    </comment>
    <comment ref="E34" authorId="0" shapeId="0">
      <text>
        <r>
          <rPr>
            <sz val="9"/>
            <color indexed="81"/>
            <rFont val="Tahoma"/>
            <family val="2"/>
          </rPr>
          <t>SOLO NÚMERO. NO USE LETRAS NI PUNTOS DE MILES</t>
        </r>
      </text>
    </comment>
    <comment ref="B35" authorId="0" shapeId="0">
      <text>
        <r>
          <rPr>
            <b/>
            <sz val="9"/>
            <color indexed="81"/>
            <rFont val="Tahoma"/>
            <family val="2"/>
          </rPr>
          <t xml:space="preserve">TODO EN MAYUSCULAS.
PRIMER NOMBRE E INICIAL DEL SEGUNDO
PRIMER APELLIDO E INICIAL DEL SEGUNDO.
</t>
        </r>
      </text>
    </comment>
    <comment ref="E35" authorId="0" shapeId="0">
      <text>
        <r>
          <rPr>
            <sz val="9"/>
            <color indexed="81"/>
            <rFont val="Tahoma"/>
            <family val="2"/>
          </rPr>
          <t>SOLO NÚMERO. NO USE LETRAS NI PUNTOS DE MILES</t>
        </r>
      </text>
    </comment>
    <comment ref="B36" authorId="0" shapeId="0">
      <text>
        <r>
          <rPr>
            <b/>
            <sz val="9"/>
            <color indexed="81"/>
            <rFont val="Tahoma"/>
            <family val="2"/>
          </rPr>
          <t xml:space="preserve">TODO EN MAYUSCULAS.
PRIMER NOMBRE E INICIAL DEL SEGUNDO
PRIMER APELLIDO E INICIAL DEL SEGUNDO.
</t>
        </r>
      </text>
    </comment>
    <comment ref="E36" authorId="0" shapeId="0">
      <text>
        <r>
          <rPr>
            <sz val="9"/>
            <color indexed="81"/>
            <rFont val="Tahoma"/>
            <family val="2"/>
          </rPr>
          <t>SOLO NÚMERO. NO USE LETRAS NI PUNTOS DE MILES</t>
        </r>
      </text>
    </comment>
    <comment ref="B37" authorId="0" shapeId="0">
      <text>
        <r>
          <rPr>
            <b/>
            <sz val="9"/>
            <color indexed="81"/>
            <rFont val="Tahoma"/>
            <family val="2"/>
          </rPr>
          <t xml:space="preserve">TODO EN MAYUSCULAS.
PRIMER NOMBRE E INICIAL DEL SEGUNDO
PRIMER APELLIDO E INICIAL DEL SEGUNDO.
</t>
        </r>
      </text>
    </comment>
    <comment ref="E37" authorId="0" shapeId="0">
      <text>
        <r>
          <rPr>
            <sz val="9"/>
            <color indexed="81"/>
            <rFont val="Tahoma"/>
            <family val="2"/>
          </rPr>
          <t>SOLO NÚMERO. NO USE LETRAS NI PUNTOS DE MILES</t>
        </r>
      </text>
    </comment>
    <comment ref="B38" authorId="0" shapeId="0">
      <text>
        <r>
          <rPr>
            <b/>
            <sz val="9"/>
            <color indexed="81"/>
            <rFont val="Tahoma"/>
            <family val="2"/>
          </rPr>
          <t xml:space="preserve">TODO EN MAYUSCULAS.
PRIMER NOMBRE E INICIAL DEL SEGUNDO
PRIMER APELLIDO E INICIAL DEL SEGUNDO.
</t>
        </r>
      </text>
    </comment>
    <comment ref="E38" authorId="0" shapeId="0">
      <text>
        <r>
          <rPr>
            <sz val="9"/>
            <color indexed="81"/>
            <rFont val="Tahoma"/>
            <family val="2"/>
          </rPr>
          <t>SOLO NÚMERO. NO USE LETRAS NI PUNTOS DE MILES</t>
        </r>
      </text>
    </comment>
    <comment ref="B39" authorId="0" shapeId="0">
      <text>
        <r>
          <rPr>
            <b/>
            <sz val="9"/>
            <color indexed="81"/>
            <rFont val="Tahoma"/>
            <family val="2"/>
          </rPr>
          <t xml:space="preserve">TODO EN MAYUSCULAS.
PRIMER NOMBRE E INICIAL DEL SEGUNDO
PRIMER APELLIDO E INICIAL DEL SEGUNDO.
</t>
        </r>
      </text>
    </comment>
    <comment ref="E39" authorId="0" shapeId="0">
      <text>
        <r>
          <rPr>
            <sz val="9"/>
            <color indexed="81"/>
            <rFont val="Tahoma"/>
            <family val="2"/>
          </rPr>
          <t>SOLO NÚMERO. NO USE LETRAS NI PUNTOS DE MILES</t>
        </r>
      </text>
    </comment>
    <comment ref="B40" authorId="0" shapeId="0">
      <text>
        <r>
          <rPr>
            <b/>
            <sz val="9"/>
            <color indexed="81"/>
            <rFont val="Tahoma"/>
            <family val="2"/>
          </rPr>
          <t xml:space="preserve">TODO EN MAYUSCULAS.
PRIMER NOMBRE E INICIAL DEL SEGUNDO
PRIMER APELLIDO E INICIAL DEL SEGUNDO.
</t>
        </r>
      </text>
    </comment>
    <comment ref="E40" authorId="0" shapeId="0">
      <text>
        <r>
          <rPr>
            <sz val="9"/>
            <color indexed="81"/>
            <rFont val="Tahoma"/>
            <family val="2"/>
          </rPr>
          <t>SOLO NÚMERO. NO USE LETRAS NI PUNTOS DE MILES</t>
        </r>
      </text>
    </comment>
    <comment ref="B41" authorId="0" shapeId="0">
      <text>
        <r>
          <rPr>
            <b/>
            <sz val="9"/>
            <color indexed="81"/>
            <rFont val="Tahoma"/>
            <family val="2"/>
          </rPr>
          <t xml:space="preserve">TODO EN MAYUSCULAS.
PRIMER NOMBRE E INICIAL DEL SEGUNDO
PRIMER APELLIDO E INICIAL DEL SEGUNDO.
</t>
        </r>
      </text>
    </comment>
    <comment ref="E41" authorId="0" shapeId="0">
      <text>
        <r>
          <rPr>
            <sz val="9"/>
            <color indexed="81"/>
            <rFont val="Tahoma"/>
            <family val="2"/>
          </rPr>
          <t>SOLO NÚMERO. NO USE LETRAS NI PUNTOS DE MILES</t>
        </r>
      </text>
    </comment>
    <comment ref="B42" authorId="0" shapeId="0">
      <text>
        <r>
          <rPr>
            <b/>
            <sz val="9"/>
            <color indexed="81"/>
            <rFont val="Tahoma"/>
            <family val="2"/>
          </rPr>
          <t xml:space="preserve">TODO EN MAYUSCULAS.
PRIMER NOMBRE E INICIAL DEL SEGUNDO
PRIMER APELLIDO E INICIAL DEL SEGUNDO.
</t>
        </r>
      </text>
    </comment>
    <comment ref="E42" authorId="0" shapeId="0">
      <text>
        <r>
          <rPr>
            <sz val="9"/>
            <color indexed="81"/>
            <rFont val="Tahoma"/>
            <family val="2"/>
          </rPr>
          <t>SOLO NÚMERO. NO USE LETRAS NI PUNTOS DE MILES</t>
        </r>
      </text>
    </comment>
    <comment ref="B43" authorId="0" shapeId="0">
      <text>
        <r>
          <rPr>
            <b/>
            <sz val="9"/>
            <color indexed="81"/>
            <rFont val="Tahoma"/>
            <family val="2"/>
          </rPr>
          <t xml:space="preserve">TODO EN MAYUSCULAS.
PRIMER NOMBRE E INICIAL DEL SEGUNDO
PRIMER APELLIDO E INICIAL DEL SEGUNDO.
</t>
        </r>
      </text>
    </comment>
    <comment ref="E43" authorId="0" shapeId="0">
      <text>
        <r>
          <rPr>
            <sz val="9"/>
            <color indexed="81"/>
            <rFont val="Tahoma"/>
            <family val="2"/>
          </rPr>
          <t>SOLO NÚMERO. NO USE LETRAS NI PUNTOS DE MILES</t>
        </r>
      </text>
    </comment>
    <comment ref="B44" authorId="0" shapeId="0">
      <text>
        <r>
          <rPr>
            <b/>
            <sz val="9"/>
            <color indexed="81"/>
            <rFont val="Tahoma"/>
            <family val="2"/>
          </rPr>
          <t xml:space="preserve">TODO EN MAYUSCULAS.
PRIMER NOMBRE E INICIAL DEL SEGUNDO
PRIMER APELLIDO E INICIAL DEL SEGUNDO.
</t>
        </r>
      </text>
    </comment>
    <comment ref="E44" authorId="0" shapeId="0">
      <text>
        <r>
          <rPr>
            <sz val="9"/>
            <color indexed="81"/>
            <rFont val="Tahoma"/>
            <family val="2"/>
          </rPr>
          <t>SOLO NÚMERO. NO USE LETRAS NI PUNTOS DE MILES</t>
        </r>
      </text>
    </comment>
    <comment ref="B45" authorId="0" shapeId="0">
      <text>
        <r>
          <rPr>
            <b/>
            <sz val="9"/>
            <color indexed="81"/>
            <rFont val="Tahoma"/>
            <family val="2"/>
          </rPr>
          <t xml:space="preserve">TODO EN MAYUSCULAS.
PRIMER NOMBRE E INICIAL DEL SEGUNDO
PRIMER APELLIDO E INICIAL DEL SEGUNDO.
</t>
        </r>
      </text>
    </comment>
    <comment ref="E45" authorId="0" shapeId="0">
      <text>
        <r>
          <rPr>
            <sz val="9"/>
            <color indexed="81"/>
            <rFont val="Tahoma"/>
            <family val="2"/>
          </rPr>
          <t>SOLO NÚMERO. NO USE LETRAS NI PUNTOS DE MILES</t>
        </r>
      </text>
    </comment>
    <comment ref="B46" authorId="0" shapeId="0">
      <text>
        <r>
          <rPr>
            <b/>
            <sz val="9"/>
            <color indexed="81"/>
            <rFont val="Tahoma"/>
            <family val="2"/>
          </rPr>
          <t xml:space="preserve">TODO EN MAYUSCULAS.
PRIMER NOMBRE E INICIAL DEL SEGUNDO
PRIMER APELLIDO E INICIAL DEL SEGUNDO.
</t>
        </r>
      </text>
    </comment>
    <comment ref="E46" authorId="0" shapeId="0">
      <text>
        <r>
          <rPr>
            <sz val="9"/>
            <color indexed="81"/>
            <rFont val="Tahoma"/>
            <family val="2"/>
          </rPr>
          <t>SOLO NÚMERO. NO USE LETRAS NI PUNTOS DE MILES</t>
        </r>
      </text>
    </comment>
    <comment ref="B47" authorId="0" shapeId="0">
      <text>
        <r>
          <rPr>
            <b/>
            <sz val="9"/>
            <color indexed="81"/>
            <rFont val="Tahoma"/>
            <family val="2"/>
          </rPr>
          <t xml:space="preserve">TODO EN MAYUSCULAS.
PRIMER NOMBRE E INICIAL DEL SEGUNDO
PRIMER APELLIDO E INICIAL DEL SEGUNDO.
</t>
        </r>
      </text>
    </comment>
    <comment ref="E47" authorId="0" shapeId="0">
      <text>
        <r>
          <rPr>
            <sz val="9"/>
            <color indexed="81"/>
            <rFont val="Tahoma"/>
            <family val="2"/>
          </rPr>
          <t>SOLO NÚMERO. NO USE LETRAS NI PUNTOS DE MILES</t>
        </r>
      </text>
    </comment>
    <comment ref="B48" authorId="0" shapeId="0">
      <text>
        <r>
          <rPr>
            <b/>
            <sz val="9"/>
            <color indexed="81"/>
            <rFont val="Tahoma"/>
            <family val="2"/>
          </rPr>
          <t xml:space="preserve">TODO EN MAYUSCULAS.
PRIMER NOMBRE E INICIAL DEL SEGUNDO
PRIMER APELLIDO E INICIAL DEL SEGUNDO.
</t>
        </r>
      </text>
    </comment>
    <comment ref="E48" authorId="0" shapeId="0">
      <text>
        <r>
          <rPr>
            <sz val="9"/>
            <color indexed="81"/>
            <rFont val="Tahoma"/>
            <family val="2"/>
          </rPr>
          <t>SOLO NÚMERO. NO USE LETRAS NI PUNTOS DE MILES</t>
        </r>
      </text>
    </comment>
    <comment ref="B49" authorId="0" shapeId="0">
      <text>
        <r>
          <rPr>
            <b/>
            <sz val="9"/>
            <color indexed="81"/>
            <rFont val="Tahoma"/>
            <family val="2"/>
          </rPr>
          <t xml:space="preserve">TODO EN MAYUSCULAS.
PRIMER NOMBRE E INICIAL DEL SEGUNDO
PRIMER APELLIDO E INICIAL DEL SEGUNDO.
</t>
        </r>
      </text>
    </comment>
    <comment ref="E49" authorId="0" shapeId="0">
      <text>
        <r>
          <rPr>
            <sz val="9"/>
            <color indexed="81"/>
            <rFont val="Tahoma"/>
            <family val="2"/>
          </rPr>
          <t>SOLO NÚMERO. NO USE LETRAS NI PUNTOS DE MILES</t>
        </r>
      </text>
    </comment>
    <comment ref="B50" authorId="0" shapeId="0">
      <text>
        <r>
          <rPr>
            <b/>
            <sz val="9"/>
            <color indexed="81"/>
            <rFont val="Tahoma"/>
            <family val="2"/>
          </rPr>
          <t xml:space="preserve">TODO EN MAYUSCULAS.
PRIMER NOMBRE E INICIAL DEL SEGUNDO
PRIMER APELLIDO E INICIAL DEL SEGUNDO.
</t>
        </r>
      </text>
    </comment>
    <comment ref="E50" authorId="0" shapeId="0">
      <text>
        <r>
          <rPr>
            <sz val="9"/>
            <color indexed="81"/>
            <rFont val="Tahoma"/>
            <family val="2"/>
          </rPr>
          <t>SOLO NÚMERO. NO USE LETRAS NI PUNTOS DE MILES</t>
        </r>
      </text>
    </comment>
    <comment ref="B51" authorId="0" shapeId="0">
      <text>
        <r>
          <rPr>
            <b/>
            <sz val="9"/>
            <color indexed="81"/>
            <rFont val="Tahoma"/>
            <family val="2"/>
          </rPr>
          <t xml:space="preserve">TODO EN MAYUSCULAS.
PRIMER NOMBRE E INICIAL DEL SEGUNDO
PRIMER APELLIDO E INICIAL DEL SEGUNDO.
</t>
        </r>
      </text>
    </comment>
    <comment ref="E51" authorId="0" shapeId="0">
      <text>
        <r>
          <rPr>
            <sz val="9"/>
            <color indexed="81"/>
            <rFont val="Tahoma"/>
            <family val="2"/>
          </rPr>
          <t>SOLO NÚMERO. NO USE LETRAS NI PUNTOS DE MILES</t>
        </r>
      </text>
    </comment>
    <comment ref="B52" authorId="0" shapeId="0">
      <text>
        <r>
          <rPr>
            <b/>
            <sz val="9"/>
            <color indexed="81"/>
            <rFont val="Tahoma"/>
            <family val="2"/>
          </rPr>
          <t xml:space="preserve">TODO EN MAYUSCULAS.
PRIMER NOMBRE E INICIAL DEL SEGUNDO
PRIMER APELLIDO E INICIAL DEL SEGUNDO.
</t>
        </r>
      </text>
    </comment>
    <comment ref="E52" authorId="0" shapeId="0">
      <text>
        <r>
          <rPr>
            <sz val="9"/>
            <color indexed="81"/>
            <rFont val="Tahoma"/>
            <family val="2"/>
          </rPr>
          <t>SOLO NÚMERO. NO USE LETRAS NI PUNTOS DE MILES</t>
        </r>
      </text>
    </comment>
    <comment ref="B53" authorId="0" shapeId="0">
      <text>
        <r>
          <rPr>
            <b/>
            <sz val="9"/>
            <color indexed="81"/>
            <rFont val="Tahoma"/>
            <family val="2"/>
          </rPr>
          <t xml:space="preserve">TODO EN MAYUSCULAS.
PRIMER NOMBRE E INICIAL DEL SEGUNDO
PRIMER APELLIDO E INICIAL DEL SEGUNDO.
</t>
        </r>
      </text>
    </comment>
    <comment ref="E53" authorId="0" shapeId="0">
      <text>
        <r>
          <rPr>
            <sz val="9"/>
            <color indexed="81"/>
            <rFont val="Tahoma"/>
            <family val="2"/>
          </rPr>
          <t>SOLO NÚMERO. NO USE LETRAS NI PUNTOS DE MILES</t>
        </r>
      </text>
    </comment>
    <comment ref="B54" authorId="0" shapeId="0">
      <text>
        <r>
          <rPr>
            <b/>
            <sz val="9"/>
            <color indexed="81"/>
            <rFont val="Tahoma"/>
            <family val="2"/>
          </rPr>
          <t xml:space="preserve">TODO EN MAYUSCULAS.
PRIMER NOMBRE E INICIAL DEL SEGUNDO
PRIMER APELLIDO E INICIAL DEL SEGUNDO.
</t>
        </r>
      </text>
    </comment>
    <comment ref="E54" authorId="0" shapeId="0">
      <text>
        <r>
          <rPr>
            <sz val="9"/>
            <color indexed="81"/>
            <rFont val="Tahoma"/>
            <family val="2"/>
          </rPr>
          <t>SOLO NÚMERO. NO USE LETRAS NI PUNTOS DE MILES</t>
        </r>
      </text>
    </comment>
    <comment ref="B55" authorId="0" shapeId="0">
      <text>
        <r>
          <rPr>
            <b/>
            <sz val="9"/>
            <color indexed="81"/>
            <rFont val="Tahoma"/>
            <family val="2"/>
          </rPr>
          <t xml:space="preserve">TODO EN MAYUSCULAS.
PRIMER NOMBRE E INICIAL DEL SEGUNDO
PRIMER APELLIDO E INICIAL DEL SEGUNDO.
</t>
        </r>
      </text>
    </comment>
    <comment ref="E55" authorId="0" shapeId="0">
      <text>
        <r>
          <rPr>
            <sz val="9"/>
            <color indexed="81"/>
            <rFont val="Tahoma"/>
            <family val="2"/>
          </rPr>
          <t>SOLO NÚMERO. NO USE LETRAS NI PUNTOS DE MILES</t>
        </r>
      </text>
    </comment>
    <comment ref="B56" authorId="0" shapeId="0">
      <text>
        <r>
          <rPr>
            <b/>
            <sz val="9"/>
            <color indexed="81"/>
            <rFont val="Tahoma"/>
            <family val="2"/>
          </rPr>
          <t xml:space="preserve">TODO EN MAYUSCULAS.
PRIMER NOMBRE E INICIAL DEL SEGUNDO
PRIMER APELLIDO E INICIAL DEL SEGUNDO.
</t>
        </r>
      </text>
    </comment>
    <comment ref="E56" authorId="0" shapeId="0">
      <text>
        <r>
          <rPr>
            <sz val="9"/>
            <color indexed="81"/>
            <rFont val="Tahoma"/>
            <family val="2"/>
          </rPr>
          <t>SOLO NÚMERO. NO USE LETRAS NI PUNTOS DE MILES</t>
        </r>
      </text>
    </comment>
    <comment ref="B57" authorId="0" shapeId="0">
      <text>
        <r>
          <rPr>
            <b/>
            <sz val="9"/>
            <color indexed="81"/>
            <rFont val="Tahoma"/>
            <family val="2"/>
          </rPr>
          <t xml:space="preserve">TODO EN MAYUSCULAS.
PRIMER NOMBRE E INICIAL DEL SEGUNDO
PRIMER APELLIDO E INICIAL DEL SEGUNDO.
</t>
        </r>
      </text>
    </comment>
    <comment ref="E57" authorId="0" shapeId="0">
      <text>
        <r>
          <rPr>
            <sz val="9"/>
            <color indexed="81"/>
            <rFont val="Tahoma"/>
            <family val="2"/>
          </rPr>
          <t>SOLO NÚMERO. NO USE LETRAS NI PUNTOS DE MILES</t>
        </r>
      </text>
    </comment>
    <comment ref="B58" authorId="0" shapeId="0">
      <text>
        <r>
          <rPr>
            <b/>
            <sz val="9"/>
            <color indexed="81"/>
            <rFont val="Tahoma"/>
            <family val="2"/>
          </rPr>
          <t xml:space="preserve">TODO EN MAYUSCULAS.
PRIMER NOMBRE E INICIAL DEL SEGUNDO
PRIMER APELLIDO E INICIAL DEL SEGUNDO.
</t>
        </r>
      </text>
    </comment>
    <comment ref="E58" authorId="0" shapeId="0">
      <text>
        <r>
          <rPr>
            <sz val="9"/>
            <color indexed="81"/>
            <rFont val="Tahoma"/>
            <family val="2"/>
          </rPr>
          <t>SOLO NÚMERO. NO USE LETRAS NI PUNTOS DE MILES</t>
        </r>
      </text>
    </comment>
    <comment ref="B59" authorId="0" shapeId="0">
      <text>
        <r>
          <rPr>
            <b/>
            <sz val="9"/>
            <color indexed="81"/>
            <rFont val="Tahoma"/>
            <family val="2"/>
          </rPr>
          <t xml:space="preserve">TODO EN MAYUSCULAS.
PRIMER NOMBRE E INICIAL DEL SEGUNDO
PRIMER APELLIDO E INICIAL DEL SEGUNDO.
</t>
        </r>
      </text>
    </comment>
    <comment ref="E59" authorId="0" shapeId="0">
      <text>
        <r>
          <rPr>
            <sz val="9"/>
            <color indexed="81"/>
            <rFont val="Tahoma"/>
            <family val="2"/>
          </rPr>
          <t>SOLO NÚMERO. NO USE LETRAS NI PUNTOS DE MILES</t>
        </r>
      </text>
    </comment>
    <comment ref="B60" authorId="0" shapeId="0">
      <text>
        <r>
          <rPr>
            <b/>
            <sz val="9"/>
            <color indexed="81"/>
            <rFont val="Tahoma"/>
            <family val="2"/>
          </rPr>
          <t xml:space="preserve">TODO EN MAYUSCULAS.
PRIMER NOMBRE E INICIAL DEL SEGUNDO
PRIMER APELLIDO E INICIAL DEL SEGUNDO.
</t>
        </r>
      </text>
    </comment>
    <comment ref="E60" authorId="0" shapeId="0">
      <text>
        <r>
          <rPr>
            <sz val="9"/>
            <color indexed="81"/>
            <rFont val="Tahoma"/>
            <family val="2"/>
          </rPr>
          <t>SOLO NÚMERO. NO USE LETRAS NI PUNTOS DE MILES</t>
        </r>
      </text>
    </comment>
    <comment ref="B61" authorId="0" shapeId="0">
      <text>
        <r>
          <rPr>
            <b/>
            <sz val="9"/>
            <color indexed="81"/>
            <rFont val="Tahoma"/>
            <family val="2"/>
          </rPr>
          <t xml:space="preserve">TODO EN MAYUSCULAS.
PRIMER NOMBRE E INICIAL DEL SEGUNDO
PRIMER APELLIDO E INICIAL DEL SEGUNDO.
</t>
        </r>
      </text>
    </comment>
    <comment ref="E61" authorId="0" shapeId="0">
      <text>
        <r>
          <rPr>
            <sz val="9"/>
            <color indexed="81"/>
            <rFont val="Tahoma"/>
            <family val="2"/>
          </rPr>
          <t>SOLO NÚMERO. NO USE LETRAS NI PUNTOS DE MILES</t>
        </r>
      </text>
    </comment>
    <comment ref="B62" authorId="0" shapeId="0">
      <text>
        <r>
          <rPr>
            <b/>
            <sz val="9"/>
            <color indexed="81"/>
            <rFont val="Tahoma"/>
            <family val="2"/>
          </rPr>
          <t xml:space="preserve">TODO EN MAYUSCULAS.
PRIMER NOMBRE E INICIAL DEL SEGUNDO
PRIMER APELLIDO E INICIAL DEL SEGUNDO.
</t>
        </r>
      </text>
    </comment>
    <comment ref="E62" authorId="0" shapeId="0">
      <text>
        <r>
          <rPr>
            <sz val="9"/>
            <color indexed="81"/>
            <rFont val="Tahoma"/>
            <family val="2"/>
          </rPr>
          <t>SOLO NÚMERO. NO USE LETRAS NI PUNTOS DE MILES</t>
        </r>
      </text>
    </comment>
    <comment ref="B63" authorId="0" shapeId="0">
      <text>
        <r>
          <rPr>
            <b/>
            <sz val="9"/>
            <color indexed="81"/>
            <rFont val="Tahoma"/>
            <family val="2"/>
          </rPr>
          <t xml:space="preserve">TODO EN MAYUSCULAS.
PRIMER NOMBRE E INICIAL DEL SEGUNDO
PRIMER APELLIDO E INICIAL DEL SEGUNDO.
</t>
        </r>
      </text>
    </comment>
    <comment ref="E63" authorId="0" shapeId="0">
      <text>
        <r>
          <rPr>
            <sz val="9"/>
            <color indexed="81"/>
            <rFont val="Tahoma"/>
            <family val="2"/>
          </rPr>
          <t>SOLO NÚMERO. NO USE LETRAS NI PUNTOS DE MILES</t>
        </r>
      </text>
    </comment>
    <comment ref="B64" authorId="0" shapeId="0">
      <text>
        <r>
          <rPr>
            <b/>
            <sz val="9"/>
            <color indexed="81"/>
            <rFont val="Tahoma"/>
            <family val="2"/>
          </rPr>
          <t xml:space="preserve">TODO EN MAYUSCULAS.
PRIMER NOMBRE E INICIAL DEL SEGUNDO
PRIMER APELLIDO E INICIAL DEL SEGUNDO.
</t>
        </r>
      </text>
    </comment>
    <comment ref="E64" authorId="0" shapeId="0">
      <text>
        <r>
          <rPr>
            <sz val="9"/>
            <color indexed="81"/>
            <rFont val="Tahoma"/>
            <family val="2"/>
          </rPr>
          <t>SOLO NÚMERO. NO USE LETRAS NI PUNTOS DE MILES</t>
        </r>
      </text>
    </comment>
    <comment ref="B65" authorId="0" shapeId="0">
      <text>
        <r>
          <rPr>
            <b/>
            <sz val="9"/>
            <color indexed="81"/>
            <rFont val="Tahoma"/>
            <family val="2"/>
          </rPr>
          <t xml:space="preserve">TODO EN MAYUSCULAS.
PRIMER NOMBRE E INICIAL DEL SEGUNDO
PRIMER APELLIDO E INICIAL DEL SEGUNDO.
</t>
        </r>
      </text>
    </comment>
    <comment ref="E65" authorId="0" shapeId="0">
      <text>
        <r>
          <rPr>
            <sz val="9"/>
            <color indexed="81"/>
            <rFont val="Tahoma"/>
            <family val="2"/>
          </rPr>
          <t>SOLO NÚMERO. NO USE LETRAS NI PUNTOS DE MILES</t>
        </r>
      </text>
    </comment>
    <comment ref="B66" authorId="0" shapeId="0">
      <text>
        <r>
          <rPr>
            <b/>
            <sz val="9"/>
            <color indexed="81"/>
            <rFont val="Tahoma"/>
            <family val="2"/>
          </rPr>
          <t xml:space="preserve">TODO EN MAYUSCULAS.
PRIMER NOMBRE E INICIAL DEL SEGUNDO
PRIMER APELLIDO E INICIAL DEL SEGUNDO.
</t>
        </r>
      </text>
    </comment>
    <comment ref="E66" authorId="0" shapeId="0">
      <text>
        <r>
          <rPr>
            <sz val="9"/>
            <color indexed="81"/>
            <rFont val="Tahoma"/>
            <family val="2"/>
          </rPr>
          <t>SOLO NÚMERO. NO USE LETRAS NI PUNTOS DE MILES</t>
        </r>
      </text>
    </comment>
  </commentList>
</comments>
</file>

<file path=xl/comments4.xml><?xml version="1.0" encoding="utf-8"?>
<comments xmlns="http://schemas.openxmlformats.org/spreadsheetml/2006/main">
  <authors>
    <author>MGIRON</author>
  </authors>
  <commentList>
    <comment ref="B17" authorId="0" shapeId="0">
      <text>
        <r>
          <rPr>
            <b/>
            <sz val="9"/>
            <color indexed="81"/>
            <rFont val="Tahoma"/>
            <family val="2"/>
          </rPr>
          <t xml:space="preserve">TODO EN MAYUSCULAS.
PRIMER NOMBRE E INICIAL DEL SEGUNDO
PRIMER APELLIDO E INICIAL DEL SEGUNDO.
</t>
        </r>
      </text>
    </comment>
    <comment ref="E17" authorId="0" shapeId="0">
      <text>
        <r>
          <rPr>
            <sz val="9"/>
            <color indexed="81"/>
            <rFont val="Tahoma"/>
            <family val="2"/>
          </rPr>
          <t>SOLO NÚMERO. NO USE LETRAS NI PUNTOS DE MILES</t>
        </r>
      </text>
    </comment>
    <comment ref="B18" authorId="0" shapeId="0">
      <text>
        <r>
          <rPr>
            <b/>
            <sz val="9"/>
            <color indexed="81"/>
            <rFont val="Tahoma"/>
            <family val="2"/>
          </rPr>
          <t xml:space="preserve">TODO EN MAYUSCULAS.
PRIMER NOMBRE E INICIAL DEL SEGUNDO
PRIMER APELLIDO E INICIAL DEL SEGUNDO.
</t>
        </r>
      </text>
    </comment>
    <comment ref="E18" authorId="0" shapeId="0">
      <text>
        <r>
          <rPr>
            <sz val="9"/>
            <color indexed="81"/>
            <rFont val="Tahoma"/>
            <family val="2"/>
          </rPr>
          <t>SOLO NÚMERO. NO USE LETRAS NI PUNTOS DE MILES</t>
        </r>
      </text>
    </comment>
    <comment ref="B19" authorId="0" shapeId="0">
      <text>
        <r>
          <rPr>
            <b/>
            <sz val="9"/>
            <color indexed="81"/>
            <rFont val="Tahoma"/>
            <family val="2"/>
          </rPr>
          <t xml:space="preserve">TODO EN MAYUSCULAS.
PRIMER NOMBRE E INICIAL DEL SEGUNDO
PRIMER APELLIDO E INICIAL DEL SEGUNDO.
</t>
        </r>
      </text>
    </comment>
    <comment ref="E19" authorId="0" shapeId="0">
      <text>
        <r>
          <rPr>
            <sz val="9"/>
            <color indexed="81"/>
            <rFont val="Tahoma"/>
            <family val="2"/>
          </rPr>
          <t>SOLO NÚMERO. NO USE LETRAS NI PUNTOS DE MILES</t>
        </r>
      </text>
    </comment>
    <comment ref="B20" authorId="0" shapeId="0">
      <text>
        <r>
          <rPr>
            <b/>
            <sz val="9"/>
            <color indexed="81"/>
            <rFont val="Tahoma"/>
            <family val="2"/>
          </rPr>
          <t xml:space="preserve">TODO EN MAYUSCULAS.
PRIMER NOMBRE E INICIAL DEL SEGUNDO
PRIMER APELLIDO E INICIAL DEL SEGUNDO.
</t>
        </r>
      </text>
    </comment>
    <comment ref="E20" authorId="0" shapeId="0">
      <text>
        <r>
          <rPr>
            <sz val="9"/>
            <color indexed="81"/>
            <rFont val="Tahoma"/>
            <family val="2"/>
          </rPr>
          <t>SOLO NÚMERO. NO USE LETRAS NI PUNTOS DE MILES</t>
        </r>
      </text>
    </comment>
    <comment ref="B21" authorId="0" shapeId="0">
      <text>
        <r>
          <rPr>
            <b/>
            <sz val="9"/>
            <color indexed="81"/>
            <rFont val="Tahoma"/>
            <family val="2"/>
          </rPr>
          <t xml:space="preserve">TODO EN MAYUSCULAS.
PRIMER NOMBRE E INICIAL DEL SEGUNDO
PRIMER APELLIDO E INICIAL DEL SEGUNDO.
</t>
        </r>
      </text>
    </comment>
    <comment ref="E21" authorId="0" shapeId="0">
      <text>
        <r>
          <rPr>
            <sz val="9"/>
            <color indexed="81"/>
            <rFont val="Tahoma"/>
            <family val="2"/>
          </rPr>
          <t>SOLO NÚMERO. NO USE LETRAS NI PUNTOS DE MILES</t>
        </r>
      </text>
    </comment>
    <comment ref="B22" authorId="0" shapeId="0">
      <text>
        <r>
          <rPr>
            <b/>
            <sz val="9"/>
            <color indexed="81"/>
            <rFont val="Tahoma"/>
            <family val="2"/>
          </rPr>
          <t xml:space="preserve">TODO EN MAYUSCULAS.
PRIMER NOMBRE E INICIAL DEL SEGUNDO
PRIMER APELLIDO E INICIAL DEL SEGUNDO.
</t>
        </r>
      </text>
    </comment>
    <comment ref="E22" authorId="0" shapeId="0">
      <text>
        <r>
          <rPr>
            <sz val="9"/>
            <color indexed="81"/>
            <rFont val="Tahoma"/>
            <family val="2"/>
          </rPr>
          <t>SOLO NÚMERO. NO USE LETRAS NI PUNTOS DE MILES</t>
        </r>
      </text>
    </comment>
    <comment ref="B23" authorId="0" shapeId="0">
      <text>
        <r>
          <rPr>
            <b/>
            <sz val="9"/>
            <color indexed="81"/>
            <rFont val="Tahoma"/>
            <family val="2"/>
          </rPr>
          <t xml:space="preserve">TODO EN MAYUSCULAS.
PRIMER NOMBRE E INICIAL DEL SEGUNDO
PRIMER APELLIDO E INICIAL DEL SEGUNDO.
</t>
        </r>
      </text>
    </comment>
    <comment ref="E23" authorId="0" shapeId="0">
      <text>
        <r>
          <rPr>
            <sz val="9"/>
            <color indexed="81"/>
            <rFont val="Tahoma"/>
            <family val="2"/>
          </rPr>
          <t>SOLO NÚMERO. NO USE LETRAS NI PUNTOS DE MILES</t>
        </r>
      </text>
    </comment>
    <comment ref="B24" authorId="0" shapeId="0">
      <text>
        <r>
          <rPr>
            <b/>
            <sz val="9"/>
            <color indexed="81"/>
            <rFont val="Tahoma"/>
            <family val="2"/>
          </rPr>
          <t xml:space="preserve">TODO EN MAYUSCULAS.
PRIMER NOMBRE E INICIAL DEL SEGUNDO
PRIMER APELLIDO E INICIAL DEL SEGUNDO.
</t>
        </r>
      </text>
    </comment>
    <comment ref="E24" authorId="0" shapeId="0">
      <text>
        <r>
          <rPr>
            <sz val="9"/>
            <color indexed="81"/>
            <rFont val="Tahoma"/>
            <family val="2"/>
          </rPr>
          <t>SOLO NÚMERO. NO USE LETRAS NI PUNTOS DE MILES</t>
        </r>
      </text>
    </comment>
    <comment ref="B25" authorId="0" shapeId="0">
      <text>
        <r>
          <rPr>
            <b/>
            <sz val="9"/>
            <color indexed="81"/>
            <rFont val="Tahoma"/>
            <family val="2"/>
          </rPr>
          <t xml:space="preserve">TODO EN MAYUSCULAS.
PRIMER NOMBRE E INICIAL DEL SEGUNDO
PRIMER APELLIDO E INICIAL DEL SEGUNDO.
</t>
        </r>
      </text>
    </comment>
    <comment ref="E25" authorId="0" shapeId="0">
      <text>
        <r>
          <rPr>
            <sz val="9"/>
            <color indexed="81"/>
            <rFont val="Tahoma"/>
            <family val="2"/>
          </rPr>
          <t>SOLO NÚMERO. NO USE LETRAS NI PUNTOS DE MILES</t>
        </r>
      </text>
    </comment>
    <comment ref="B26" authorId="0" shapeId="0">
      <text>
        <r>
          <rPr>
            <b/>
            <sz val="9"/>
            <color indexed="81"/>
            <rFont val="Tahoma"/>
            <family val="2"/>
          </rPr>
          <t xml:space="preserve">TODO EN MAYUSCULAS.
PRIMER NOMBRE E INICIAL DEL SEGUNDO
PRIMER APELLIDO E INICIAL DEL SEGUNDO.
</t>
        </r>
      </text>
    </comment>
    <comment ref="E26" authorId="0" shapeId="0">
      <text>
        <r>
          <rPr>
            <sz val="9"/>
            <color indexed="81"/>
            <rFont val="Tahoma"/>
            <family val="2"/>
          </rPr>
          <t>SOLO NÚMERO. NO USE LETRAS NI PUNTOS DE MILES</t>
        </r>
      </text>
    </comment>
    <comment ref="B27" authorId="0" shapeId="0">
      <text>
        <r>
          <rPr>
            <b/>
            <sz val="9"/>
            <color indexed="81"/>
            <rFont val="Tahoma"/>
            <family val="2"/>
          </rPr>
          <t xml:space="preserve">TODO EN MAYUSCULAS.
PRIMER NOMBRE E INICIAL DEL SEGUNDO
PRIMER APELLIDO E INICIAL DEL SEGUNDO.
</t>
        </r>
      </text>
    </comment>
    <comment ref="E27" authorId="0" shapeId="0">
      <text>
        <r>
          <rPr>
            <sz val="9"/>
            <color indexed="81"/>
            <rFont val="Tahoma"/>
            <family val="2"/>
          </rPr>
          <t>SOLO NÚMERO. NO USE LETRAS NI PUNTOS DE MILES</t>
        </r>
      </text>
    </comment>
    <comment ref="B28" authorId="0" shapeId="0">
      <text>
        <r>
          <rPr>
            <b/>
            <sz val="9"/>
            <color indexed="81"/>
            <rFont val="Tahoma"/>
            <family val="2"/>
          </rPr>
          <t xml:space="preserve">TODO EN MAYUSCULAS.
PRIMER NOMBRE E INICIAL DEL SEGUNDO
PRIMER APELLIDO E INICIAL DEL SEGUNDO.
</t>
        </r>
      </text>
    </comment>
    <comment ref="E28" authorId="0" shapeId="0">
      <text>
        <r>
          <rPr>
            <sz val="9"/>
            <color indexed="81"/>
            <rFont val="Tahoma"/>
            <family val="2"/>
          </rPr>
          <t>SOLO NÚMERO. NO USE LETRAS NI PUNTOS DE MILES</t>
        </r>
      </text>
    </comment>
    <comment ref="B29" authorId="0" shapeId="0">
      <text>
        <r>
          <rPr>
            <b/>
            <sz val="9"/>
            <color indexed="81"/>
            <rFont val="Tahoma"/>
            <family val="2"/>
          </rPr>
          <t xml:space="preserve">TODO EN MAYUSCULAS.
PRIMER NOMBRE E INICIAL DEL SEGUNDO
PRIMER APELLIDO E INICIAL DEL SEGUNDO.
</t>
        </r>
      </text>
    </comment>
    <comment ref="E29" authorId="0" shapeId="0">
      <text>
        <r>
          <rPr>
            <sz val="9"/>
            <color indexed="81"/>
            <rFont val="Tahoma"/>
            <family val="2"/>
          </rPr>
          <t>SOLO NÚMERO. NO USE LETRAS NI PUNTOS DE MILES</t>
        </r>
      </text>
    </comment>
    <comment ref="B30" authorId="0" shapeId="0">
      <text>
        <r>
          <rPr>
            <b/>
            <sz val="9"/>
            <color indexed="81"/>
            <rFont val="Tahoma"/>
            <family val="2"/>
          </rPr>
          <t xml:space="preserve">TODO EN MAYUSCULAS.
PRIMER NOMBRE E INICIAL DEL SEGUNDO
PRIMER APELLIDO E INICIAL DEL SEGUNDO.
</t>
        </r>
      </text>
    </comment>
    <comment ref="E30" authorId="0" shapeId="0">
      <text>
        <r>
          <rPr>
            <sz val="9"/>
            <color indexed="81"/>
            <rFont val="Tahoma"/>
            <family val="2"/>
          </rPr>
          <t>SOLO NÚMERO. NO USE LETRAS NI PUNTOS DE MILES</t>
        </r>
      </text>
    </comment>
    <comment ref="B31" authorId="0" shapeId="0">
      <text>
        <r>
          <rPr>
            <b/>
            <sz val="9"/>
            <color indexed="81"/>
            <rFont val="Tahoma"/>
            <family val="2"/>
          </rPr>
          <t xml:space="preserve">TODO EN MAYUSCULAS.
PRIMER NOMBRE E INICIAL DEL SEGUNDO
PRIMER APELLIDO E INICIAL DEL SEGUNDO.
</t>
        </r>
      </text>
    </comment>
    <comment ref="E31" authorId="0" shapeId="0">
      <text>
        <r>
          <rPr>
            <sz val="9"/>
            <color indexed="81"/>
            <rFont val="Tahoma"/>
            <family val="2"/>
          </rPr>
          <t>SOLO NÚMERO. NO USE LETRAS NI PUNTOS DE MILES</t>
        </r>
      </text>
    </comment>
    <comment ref="B32" authorId="0" shapeId="0">
      <text>
        <r>
          <rPr>
            <b/>
            <sz val="9"/>
            <color indexed="81"/>
            <rFont val="Tahoma"/>
            <family val="2"/>
          </rPr>
          <t xml:space="preserve">TODO EN MAYUSCULAS.
PRIMER NOMBRE E INICIAL DEL SEGUNDO
PRIMER APELLIDO E INICIAL DEL SEGUNDO.
</t>
        </r>
      </text>
    </comment>
    <comment ref="E32" authorId="0" shapeId="0">
      <text>
        <r>
          <rPr>
            <sz val="9"/>
            <color indexed="81"/>
            <rFont val="Tahoma"/>
            <family val="2"/>
          </rPr>
          <t>SOLO NÚMERO. NO USE LETRAS NI PUNTOS DE MILES</t>
        </r>
      </text>
    </comment>
    <comment ref="B33" authorId="0" shapeId="0">
      <text>
        <r>
          <rPr>
            <b/>
            <sz val="9"/>
            <color indexed="81"/>
            <rFont val="Tahoma"/>
            <family val="2"/>
          </rPr>
          <t xml:space="preserve">TODO EN MAYUSCULAS.
PRIMER NOMBRE E INICIAL DEL SEGUNDO
PRIMER APELLIDO E INICIAL DEL SEGUNDO.
</t>
        </r>
      </text>
    </comment>
    <comment ref="E33" authorId="0" shapeId="0">
      <text>
        <r>
          <rPr>
            <sz val="9"/>
            <color indexed="81"/>
            <rFont val="Tahoma"/>
            <family val="2"/>
          </rPr>
          <t>SOLO NÚMERO. NO USE LETRAS NI PUNTOS DE MILES</t>
        </r>
      </text>
    </comment>
    <comment ref="B34" authorId="0" shapeId="0">
      <text>
        <r>
          <rPr>
            <b/>
            <sz val="9"/>
            <color indexed="81"/>
            <rFont val="Tahoma"/>
            <family val="2"/>
          </rPr>
          <t xml:space="preserve">TODO EN MAYUSCULAS.
PRIMER NOMBRE E INICIAL DEL SEGUNDO
PRIMER APELLIDO E INICIAL DEL SEGUNDO.
</t>
        </r>
      </text>
    </comment>
    <comment ref="E34" authorId="0" shapeId="0">
      <text>
        <r>
          <rPr>
            <sz val="9"/>
            <color indexed="81"/>
            <rFont val="Tahoma"/>
            <family val="2"/>
          </rPr>
          <t>SOLO NÚMERO. NO USE LETRAS NI PUNTOS DE MILES</t>
        </r>
      </text>
    </comment>
    <comment ref="B35" authorId="0" shapeId="0">
      <text>
        <r>
          <rPr>
            <b/>
            <sz val="9"/>
            <color indexed="81"/>
            <rFont val="Tahoma"/>
            <family val="2"/>
          </rPr>
          <t xml:space="preserve">TODO EN MAYUSCULAS.
PRIMER NOMBRE E INICIAL DEL SEGUNDO
PRIMER APELLIDO E INICIAL DEL SEGUNDO.
</t>
        </r>
      </text>
    </comment>
    <comment ref="E35" authorId="0" shapeId="0">
      <text>
        <r>
          <rPr>
            <sz val="9"/>
            <color indexed="81"/>
            <rFont val="Tahoma"/>
            <family val="2"/>
          </rPr>
          <t>SOLO NÚMERO. NO USE LETRAS NI PUNTOS DE MILES</t>
        </r>
      </text>
    </comment>
    <comment ref="B36" authorId="0" shapeId="0">
      <text>
        <r>
          <rPr>
            <b/>
            <sz val="9"/>
            <color indexed="81"/>
            <rFont val="Tahoma"/>
            <family val="2"/>
          </rPr>
          <t xml:space="preserve">TODO EN MAYUSCULAS.
PRIMER NOMBRE E INICIAL DEL SEGUNDO
PRIMER APELLIDO E INICIAL DEL SEGUNDO.
</t>
        </r>
      </text>
    </comment>
    <comment ref="E36" authorId="0" shapeId="0">
      <text>
        <r>
          <rPr>
            <sz val="9"/>
            <color indexed="81"/>
            <rFont val="Tahoma"/>
            <family val="2"/>
          </rPr>
          <t>SOLO NÚMERO. NO USE LETRAS NI PUNTOS DE MILES</t>
        </r>
      </text>
    </comment>
    <comment ref="B37" authorId="0" shapeId="0">
      <text>
        <r>
          <rPr>
            <b/>
            <sz val="9"/>
            <color indexed="81"/>
            <rFont val="Tahoma"/>
            <family val="2"/>
          </rPr>
          <t xml:space="preserve">TODO EN MAYUSCULAS.
PRIMER NOMBRE E INICIAL DEL SEGUNDO
PRIMER APELLIDO E INICIAL DEL SEGUNDO.
</t>
        </r>
      </text>
    </comment>
    <comment ref="E37" authorId="0" shapeId="0">
      <text>
        <r>
          <rPr>
            <sz val="9"/>
            <color indexed="81"/>
            <rFont val="Tahoma"/>
            <family val="2"/>
          </rPr>
          <t>SOLO NÚMERO. NO USE LETRAS NI PUNTOS DE MILES</t>
        </r>
      </text>
    </comment>
    <comment ref="B38" authorId="0" shapeId="0">
      <text>
        <r>
          <rPr>
            <b/>
            <sz val="9"/>
            <color indexed="81"/>
            <rFont val="Tahoma"/>
            <family val="2"/>
          </rPr>
          <t xml:space="preserve">TODO EN MAYUSCULAS.
PRIMER NOMBRE E INICIAL DEL SEGUNDO
PRIMER APELLIDO E INICIAL DEL SEGUNDO.
</t>
        </r>
      </text>
    </comment>
    <comment ref="E38" authorId="0" shapeId="0">
      <text>
        <r>
          <rPr>
            <sz val="9"/>
            <color indexed="81"/>
            <rFont val="Tahoma"/>
            <family val="2"/>
          </rPr>
          <t>SOLO NÚMERO. NO USE LETRAS NI PUNTOS DE MILES</t>
        </r>
      </text>
    </comment>
    <comment ref="B39" authorId="0" shapeId="0">
      <text>
        <r>
          <rPr>
            <b/>
            <sz val="9"/>
            <color indexed="81"/>
            <rFont val="Tahoma"/>
            <family val="2"/>
          </rPr>
          <t xml:space="preserve">TODO EN MAYUSCULAS.
PRIMER NOMBRE E INICIAL DEL SEGUNDO
PRIMER APELLIDO E INICIAL DEL SEGUNDO.
</t>
        </r>
      </text>
    </comment>
    <comment ref="E39" authorId="0" shapeId="0">
      <text>
        <r>
          <rPr>
            <sz val="9"/>
            <color indexed="81"/>
            <rFont val="Tahoma"/>
            <family val="2"/>
          </rPr>
          <t>SOLO NÚMERO. NO USE LETRAS NI PUNTOS DE MILES</t>
        </r>
      </text>
    </comment>
    <comment ref="B40" authorId="0" shapeId="0">
      <text>
        <r>
          <rPr>
            <b/>
            <sz val="9"/>
            <color indexed="81"/>
            <rFont val="Tahoma"/>
            <family val="2"/>
          </rPr>
          <t xml:space="preserve">TODO EN MAYUSCULAS.
PRIMER NOMBRE E INICIAL DEL SEGUNDO
PRIMER APELLIDO E INICIAL DEL SEGUNDO.
</t>
        </r>
      </text>
    </comment>
    <comment ref="E40" authorId="0" shapeId="0">
      <text>
        <r>
          <rPr>
            <sz val="9"/>
            <color indexed="81"/>
            <rFont val="Tahoma"/>
            <family val="2"/>
          </rPr>
          <t>SOLO NÚMERO. NO USE LETRAS NI PUNTOS DE MILES</t>
        </r>
      </text>
    </comment>
    <comment ref="B41" authorId="0" shapeId="0">
      <text>
        <r>
          <rPr>
            <b/>
            <sz val="9"/>
            <color indexed="81"/>
            <rFont val="Tahoma"/>
            <family val="2"/>
          </rPr>
          <t xml:space="preserve">TODO EN MAYUSCULAS.
PRIMER NOMBRE E INICIAL DEL SEGUNDO
PRIMER APELLIDO E INICIAL DEL SEGUNDO.
</t>
        </r>
      </text>
    </comment>
    <comment ref="E41" authorId="0" shapeId="0">
      <text>
        <r>
          <rPr>
            <sz val="9"/>
            <color indexed="81"/>
            <rFont val="Tahoma"/>
            <family val="2"/>
          </rPr>
          <t>SOLO NÚMERO. NO USE LETRAS NI PUNTOS DE MILES</t>
        </r>
      </text>
    </comment>
    <comment ref="B42" authorId="0" shapeId="0">
      <text>
        <r>
          <rPr>
            <b/>
            <sz val="9"/>
            <color indexed="81"/>
            <rFont val="Tahoma"/>
            <family val="2"/>
          </rPr>
          <t xml:space="preserve">TODO EN MAYUSCULAS.
PRIMER NOMBRE E INICIAL DEL SEGUNDO
PRIMER APELLIDO E INICIAL DEL SEGUNDO.
</t>
        </r>
      </text>
    </comment>
    <comment ref="E42" authorId="0" shapeId="0">
      <text>
        <r>
          <rPr>
            <sz val="9"/>
            <color indexed="81"/>
            <rFont val="Tahoma"/>
            <family val="2"/>
          </rPr>
          <t>SOLO NÚMERO. NO USE LETRAS NI PUNTOS DE MILES</t>
        </r>
      </text>
    </comment>
    <comment ref="B43" authorId="0" shapeId="0">
      <text>
        <r>
          <rPr>
            <b/>
            <sz val="9"/>
            <color indexed="81"/>
            <rFont val="Tahoma"/>
            <family val="2"/>
          </rPr>
          <t xml:space="preserve">TODO EN MAYUSCULAS.
PRIMER NOMBRE E INICIAL DEL SEGUNDO
PRIMER APELLIDO E INICIAL DEL SEGUNDO.
</t>
        </r>
      </text>
    </comment>
    <comment ref="E43" authorId="0" shapeId="0">
      <text>
        <r>
          <rPr>
            <sz val="9"/>
            <color indexed="81"/>
            <rFont val="Tahoma"/>
            <family val="2"/>
          </rPr>
          <t>SOLO NÚMERO. NO USE LETRAS NI PUNTOS DE MILES</t>
        </r>
      </text>
    </comment>
    <comment ref="B44" authorId="0" shapeId="0">
      <text>
        <r>
          <rPr>
            <b/>
            <sz val="9"/>
            <color indexed="81"/>
            <rFont val="Tahoma"/>
            <family val="2"/>
          </rPr>
          <t xml:space="preserve">TODO EN MAYUSCULAS.
PRIMER NOMBRE E INICIAL DEL SEGUNDO
PRIMER APELLIDO E INICIAL DEL SEGUNDO.
</t>
        </r>
      </text>
    </comment>
    <comment ref="E44" authorId="0" shapeId="0">
      <text>
        <r>
          <rPr>
            <sz val="9"/>
            <color indexed="81"/>
            <rFont val="Tahoma"/>
            <family val="2"/>
          </rPr>
          <t>SOLO NÚMERO. NO USE LETRAS NI PUNTOS DE MILES</t>
        </r>
      </text>
    </comment>
    <comment ref="B45" authorId="0" shapeId="0">
      <text>
        <r>
          <rPr>
            <b/>
            <sz val="9"/>
            <color indexed="81"/>
            <rFont val="Tahoma"/>
            <family val="2"/>
          </rPr>
          <t xml:space="preserve">TODO EN MAYUSCULAS.
PRIMER NOMBRE E INICIAL DEL SEGUNDO
PRIMER APELLIDO E INICIAL DEL SEGUNDO.
</t>
        </r>
      </text>
    </comment>
    <comment ref="E45" authorId="0" shapeId="0">
      <text>
        <r>
          <rPr>
            <sz val="9"/>
            <color indexed="81"/>
            <rFont val="Tahoma"/>
            <family val="2"/>
          </rPr>
          <t>SOLO NÚMERO. NO USE LETRAS NI PUNTOS DE MILES</t>
        </r>
      </text>
    </comment>
    <comment ref="B46" authorId="0" shapeId="0">
      <text>
        <r>
          <rPr>
            <b/>
            <sz val="9"/>
            <color indexed="81"/>
            <rFont val="Tahoma"/>
            <family val="2"/>
          </rPr>
          <t xml:space="preserve">TODO EN MAYUSCULAS.
PRIMER NOMBRE E INICIAL DEL SEGUNDO
PRIMER APELLIDO E INICIAL DEL SEGUNDO.
</t>
        </r>
      </text>
    </comment>
    <comment ref="E46" authorId="0" shapeId="0">
      <text>
        <r>
          <rPr>
            <sz val="9"/>
            <color indexed="81"/>
            <rFont val="Tahoma"/>
            <family val="2"/>
          </rPr>
          <t>SOLO NÚMERO. NO USE LETRAS NI PUNTOS DE MILES</t>
        </r>
      </text>
    </comment>
    <comment ref="B47" authorId="0" shapeId="0">
      <text>
        <r>
          <rPr>
            <b/>
            <sz val="9"/>
            <color indexed="81"/>
            <rFont val="Tahoma"/>
            <family val="2"/>
          </rPr>
          <t xml:space="preserve">TODO EN MAYUSCULAS.
PRIMER NOMBRE E INICIAL DEL SEGUNDO
PRIMER APELLIDO E INICIAL DEL SEGUNDO.
</t>
        </r>
      </text>
    </comment>
    <comment ref="E47" authorId="0" shapeId="0">
      <text>
        <r>
          <rPr>
            <sz val="9"/>
            <color indexed="81"/>
            <rFont val="Tahoma"/>
            <family val="2"/>
          </rPr>
          <t>SOLO NÚMERO. NO USE LETRAS NI PUNTOS DE MILES</t>
        </r>
      </text>
    </comment>
    <comment ref="B48" authorId="0" shapeId="0">
      <text>
        <r>
          <rPr>
            <b/>
            <sz val="9"/>
            <color indexed="81"/>
            <rFont val="Tahoma"/>
            <family val="2"/>
          </rPr>
          <t xml:space="preserve">TODO EN MAYUSCULAS.
PRIMER NOMBRE E INICIAL DEL SEGUNDO
PRIMER APELLIDO E INICIAL DEL SEGUNDO.
</t>
        </r>
      </text>
    </comment>
    <comment ref="E48" authorId="0" shapeId="0">
      <text>
        <r>
          <rPr>
            <sz val="9"/>
            <color indexed="81"/>
            <rFont val="Tahoma"/>
            <family val="2"/>
          </rPr>
          <t>SOLO NÚMERO. NO USE LETRAS NI PUNTOS DE MILES</t>
        </r>
      </text>
    </comment>
    <comment ref="B49" authorId="0" shapeId="0">
      <text>
        <r>
          <rPr>
            <b/>
            <sz val="9"/>
            <color indexed="81"/>
            <rFont val="Tahoma"/>
            <family val="2"/>
          </rPr>
          <t xml:space="preserve">TODO EN MAYUSCULAS.
PRIMER NOMBRE E INICIAL DEL SEGUNDO
PRIMER APELLIDO E INICIAL DEL SEGUNDO.
</t>
        </r>
      </text>
    </comment>
    <comment ref="E49" authorId="0" shapeId="0">
      <text>
        <r>
          <rPr>
            <sz val="9"/>
            <color indexed="81"/>
            <rFont val="Tahoma"/>
            <family val="2"/>
          </rPr>
          <t>SOLO NÚMERO. NO USE LETRAS NI PUNTOS DE MILES</t>
        </r>
      </text>
    </comment>
    <comment ref="B50" authorId="0" shapeId="0">
      <text>
        <r>
          <rPr>
            <b/>
            <sz val="9"/>
            <color indexed="81"/>
            <rFont val="Tahoma"/>
            <family val="2"/>
          </rPr>
          <t xml:space="preserve">TODO EN MAYUSCULAS.
PRIMER NOMBRE E INICIAL DEL SEGUNDO
PRIMER APELLIDO E INICIAL DEL SEGUNDO.
</t>
        </r>
      </text>
    </comment>
    <comment ref="E50" authorId="0" shapeId="0">
      <text>
        <r>
          <rPr>
            <sz val="9"/>
            <color indexed="81"/>
            <rFont val="Tahoma"/>
            <family val="2"/>
          </rPr>
          <t>SOLO NÚMERO. NO USE LETRAS NI PUNTOS DE MILES</t>
        </r>
      </text>
    </comment>
    <comment ref="B51" authorId="0" shapeId="0">
      <text>
        <r>
          <rPr>
            <b/>
            <sz val="9"/>
            <color indexed="81"/>
            <rFont val="Tahoma"/>
            <family val="2"/>
          </rPr>
          <t xml:space="preserve">TODO EN MAYUSCULAS.
PRIMER NOMBRE E INICIAL DEL SEGUNDO
PRIMER APELLIDO E INICIAL DEL SEGUNDO.
</t>
        </r>
      </text>
    </comment>
    <comment ref="E51" authorId="0" shapeId="0">
      <text>
        <r>
          <rPr>
            <sz val="9"/>
            <color indexed="81"/>
            <rFont val="Tahoma"/>
            <family val="2"/>
          </rPr>
          <t>SOLO NÚMERO. NO USE LETRAS NI PUNTOS DE MILES</t>
        </r>
      </text>
    </comment>
    <comment ref="B52" authorId="0" shapeId="0">
      <text>
        <r>
          <rPr>
            <b/>
            <sz val="9"/>
            <color indexed="81"/>
            <rFont val="Tahoma"/>
            <family val="2"/>
          </rPr>
          <t xml:space="preserve">TODO EN MAYUSCULAS.
PRIMER NOMBRE E INICIAL DEL SEGUNDO
PRIMER APELLIDO E INICIAL DEL SEGUNDO.
</t>
        </r>
      </text>
    </comment>
    <comment ref="E52" authorId="0" shapeId="0">
      <text>
        <r>
          <rPr>
            <sz val="9"/>
            <color indexed="81"/>
            <rFont val="Tahoma"/>
            <family val="2"/>
          </rPr>
          <t>SOLO NÚMERO. NO USE LETRAS NI PUNTOS DE MILES</t>
        </r>
      </text>
    </comment>
    <comment ref="B53" authorId="0" shapeId="0">
      <text>
        <r>
          <rPr>
            <b/>
            <sz val="9"/>
            <color indexed="81"/>
            <rFont val="Tahoma"/>
            <family val="2"/>
          </rPr>
          <t xml:space="preserve">TODO EN MAYUSCULAS.
PRIMER NOMBRE E INICIAL DEL SEGUNDO
PRIMER APELLIDO E INICIAL DEL SEGUNDO.
</t>
        </r>
      </text>
    </comment>
    <comment ref="E53" authorId="0" shapeId="0">
      <text>
        <r>
          <rPr>
            <sz val="9"/>
            <color indexed="81"/>
            <rFont val="Tahoma"/>
            <family val="2"/>
          </rPr>
          <t>SOLO NÚMERO. NO USE LETRAS NI PUNTOS DE MILES</t>
        </r>
      </text>
    </comment>
    <comment ref="B54" authorId="0" shapeId="0">
      <text>
        <r>
          <rPr>
            <b/>
            <sz val="9"/>
            <color indexed="81"/>
            <rFont val="Tahoma"/>
            <family val="2"/>
          </rPr>
          <t xml:space="preserve">TODO EN MAYUSCULAS.
PRIMER NOMBRE E INICIAL DEL SEGUNDO
PRIMER APELLIDO E INICIAL DEL SEGUNDO.
</t>
        </r>
      </text>
    </comment>
    <comment ref="E54" authorId="0" shapeId="0">
      <text>
        <r>
          <rPr>
            <sz val="9"/>
            <color indexed="81"/>
            <rFont val="Tahoma"/>
            <family val="2"/>
          </rPr>
          <t>SOLO NÚMERO. NO USE LETRAS NI PUNTOS DE MILES</t>
        </r>
      </text>
    </comment>
    <comment ref="B55" authorId="0" shapeId="0">
      <text>
        <r>
          <rPr>
            <b/>
            <sz val="9"/>
            <color indexed="81"/>
            <rFont val="Tahoma"/>
            <family val="2"/>
          </rPr>
          <t xml:space="preserve">TODO EN MAYUSCULAS.
PRIMER NOMBRE E INICIAL DEL SEGUNDO
PRIMER APELLIDO E INICIAL DEL SEGUNDO.
</t>
        </r>
      </text>
    </comment>
    <comment ref="E55" authorId="0" shapeId="0">
      <text>
        <r>
          <rPr>
            <sz val="9"/>
            <color indexed="81"/>
            <rFont val="Tahoma"/>
            <family val="2"/>
          </rPr>
          <t>SOLO NÚMERO. NO USE LETRAS NI PUNTOS DE MILES</t>
        </r>
      </text>
    </comment>
    <comment ref="B56" authorId="0" shapeId="0">
      <text>
        <r>
          <rPr>
            <b/>
            <sz val="9"/>
            <color indexed="81"/>
            <rFont val="Tahoma"/>
            <family val="2"/>
          </rPr>
          <t xml:space="preserve">TODO EN MAYUSCULAS.
PRIMER NOMBRE E INICIAL DEL SEGUNDO
PRIMER APELLIDO E INICIAL DEL SEGUNDO.
</t>
        </r>
      </text>
    </comment>
    <comment ref="E56" authorId="0" shapeId="0">
      <text>
        <r>
          <rPr>
            <sz val="9"/>
            <color indexed="81"/>
            <rFont val="Tahoma"/>
            <family val="2"/>
          </rPr>
          <t>SOLO NÚMERO. NO USE LETRAS NI PUNTOS DE MILES</t>
        </r>
      </text>
    </comment>
    <comment ref="B57" authorId="0" shapeId="0">
      <text>
        <r>
          <rPr>
            <b/>
            <sz val="9"/>
            <color indexed="81"/>
            <rFont val="Tahoma"/>
            <family val="2"/>
          </rPr>
          <t xml:space="preserve">TODO EN MAYUSCULAS.
PRIMER NOMBRE E INICIAL DEL SEGUNDO
PRIMER APELLIDO E INICIAL DEL SEGUNDO.
</t>
        </r>
      </text>
    </comment>
    <comment ref="E57" authorId="0" shapeId="0">
      <text>
        <r>
          <rPr>
            <sz val="9"/>
            <color indexed="81"/>
            <rFont val="Tahoma"/>
            <family val="2"/>
          </rPr>
          <t>SOLO NÚMERO. NO USE LETRAS NI PUNTOS DE MILES</t>
        </r>
      </text>
    </comment>
    <comment ref="B58" authorId="0" shapeId="0">
      <text>
        <r>
          <rPr>
            <b/>
            <sz val="9"/>
            <color indexed="81"/>
            <rFont val="Tahoma"/>
            <family val="2"/>
          </rPr>
          <t xml:space="preserve">TODO EN MAYUSCULAS.
PRIMER NOMBRE E INICIAL DEL SEGUNDO
PRIMER APELLIDO E INICIAL DEL SEGUNDO.
</t>
        </r>
      </text>
    </comment>
    <comment ref="E58" authorId="0" shapeId="0">
      <text>
        <r>
          <rPr>
            <sz val="9"/>
            <color indexed="81"/>
            <rFont val="Tahoma"/>
            <family val="2"/>
          </rPr>
          <t>SOLO NÚMERO. NO USE LETRAS NI PUNTOS DE MILES</t>
        </r>
      </text>
    </comment>
    <comment ref="B59" authorId="0" shapeId="0">
      <text>
        <r>
          <rPr>
            <b/>
            <sz val="9"/>
            <color indexed="81"/>
            <rFont val="Tahoma"/>
            <family val="2"/>
          </rPr>
          <t xml:space="preserve">TODO EN MAYUSCULAS.
PRIMER NOMBRE E INICIAL DEL SEGUNDO
PRIMER APELLIDO E INICIAL DEL SEGUNDO.
</t>
        </r>
      </text>
    </comment>
    <comment ref="E59" authorId="0" shapeId="0">
      <text>
        <r>
          <rPr>
            <sz val="9"/>
            <color indexed="81"/>
            <rFont val="Tahoma"/>
            <family val="2"/>
          </rPr>
          <t>SOLO NÚMERO. NO USE LETRAS NI PUNTOS DE MILES</t>
        </r>
      </text>
    </comment>
    <comment ref="B60" authorId="0" shapeId="0">
      <text>
        <r>
          <rPr>
            <b/>
            <sz val="9"/>
            <color indexed="81"/>
            <rFont val="Tahoma"/>
            <family val="2"/>
          </rPr>
          <t xml:space="preserve">TODO EN MAYUSCULAS.
PRIMER NOMBRE E INICIAL DEL SEGUNDO
PRIMER APELLIDO E INICIAL DEL SEGUNDO.
</t>
        </r>
      </text>
    </comment>
    <comment ref="E60" authorId="0" shapeId="0">
      <text>
        <r>
          <rPr>
            <sz val="9"/>
            <color indexed="81"/>
            <rFont val="Tahoma"/>
            <family val="2"/>
          </rPr>
          <t>SOLO NÚMERO. NO USE LETRAS NI PUNTOS DE MILES</t>
        </r>
      </text>
    </comment>
    <comment ref="B61" authorId="0" shapeId="0">
      <text>
        <r>
          <rPr>
            <b/>
            <sz val="9"/>
            <color indexed="81"/>
            <rFont val="Tahoma"/>
            <family val="2"/>
          </rPr>
          <t xml:space="preserve">TODO EN MAYUSCULAS.
PRIMER NOMBRE E INICIAL DEL SEGUNDO
PRIMER APELLIDO E INICIAL DEL SEGUNDO.
</t>
        </r>
      </text>
    </comment>
    <comment ref="E61" authorId="0" shapeId="0">
      <text>
        <r>
          <rPr>
            <sz val="9"/>
            <color indexed="81"/>
            <rFont val="Tahoma"/>
            <family val="2"/>
          </rPr>
          <t>SOLO NÚMERO. NO USE LETRAS NI PUNTOS DE MILES</t>
        </r>
      </text>
    </comment>
    <comment ref="B62" authorId="0" shapeId="0">
      <text>
        <r>
          <rPr>
            <b/>
            <sz val="9"/>
            <color indexed="81"/>
            <rFont val="Tahoma"/>
            <family val="2"/>
          </rPr>
          <t xml:space="preserve">TODO EN MAYUSCULAS.
PRIMER NOMBRE E INICIAL DEL SEGUNDO
PRIMER APELLIDO E INICIAL DEL SEGUNDO.
</t>
        </r>
      </text>
    </comment>
    <comment ref="E62" authorId="0" shapeId="0">
      <text>
        <r>
          <rPr>
            <sz val="9"/>
            <color indexed="81"/>
            <rFont val="Tahoma"/>
            <family val="2"/>
          </rPr>
          <t>SOLO NÚMERO. NO USE LETRAS NI PUNTOS DE MILES</t>
        </r>
      </text>
    </comment>
    <comment ref="B63" authorId="0" shapeId="0">
      <text>
        <r>
          <rPr>
            <b/>
            <sz val="9"/>
            <color indexed="81"/>
            <rFont val="Tahoma"/>
            <family val="2"/>
          </rPr>
          <t xml:space="preserve">TODO EN MAYUSCULAS.
PRIMER NOMBRE E INICIAL DEL SEGUNDO
PRIMER APELLIDO E INICIAL DEL SEGUNDO.
</t>
        </r>
      </text>
    </comment>
    <comment ref="E63" authorId="0" shapeId="0">
      <text>
        <r>
          <rPr>
            <sz val="9"/>
            <color indexed="81"/>
            <rFont val="Tahoma"/>
            <family val="2"/>
          </rPr>
          <t>SOLO NÚMERO. NO USE LETRAS NI PUNTOS DE MILES</t>
        </r>
      </text>
    </comment>
    <comment ref="B64" authorId="0" shapeId="0">
      <text>
        <r>
          <rPr>
            <b/>
            <sz val="9"/>
            <color indexed="81"/>
            <rFont val="Tahoma"/>
            <family val="2"/>
          </rPr>
          <t xml:space="preserve">TODO EN MAYUSCULAS.
PRIMER NOMBRE E INICIAL DEL SEGUNDO
PRIMER APELLIDO E INICIAL DEL SEGUNDO.
</t>
        </r>
      </text>
    </comment>
    <comment ref="E64" authorId="0" shapeId="0">
      <text>
        <r>
          <rPr>
            <sz val="9"/>
            <color indexed="81"/>
            <rFont val="Tahoma"/>
            <family val="2"/>
          </rPr>
          <t>SOLO NÚMERO. NO USE LETRAS NI PUNTOS DE MILES</t>
        </r>
      </text>
    </comment>
    <comment ref="B65" authorId="0" shapeId="0">
      <text>
        <r>
          <rPr>
            <b/>
            <sz val="9"/>
            <color indexed="81"/>
            <rFont val="Tahoma"/>
            <family val="2"/>
          </rPr>
          <t xml:space="preserve">TODO EN MAYUSCULAS.
PRIMER NOMBRE E INICIAL DEL SEGUNDO
PRIMER APELLIDO E INICIAL DEL SEGUNDO.
</t>
        </r>
      </text>
    </comment>
    <comment ref="E65" authorId="0" shapeId="0">
      <text>
        <r>
          <rPr>
            <sz val="9"/>
            <color indexed="81"/>
            <rFont val="Tahoma"/>
            <family val="2"/>
          </rPr>
          <t>SOLO NÚMERO. NO USE LETRAS NI PUNTOS DE MILES</t>
        </r>
      </text>
    </comment>
    <comment ref="B66" authorId="0" shapeId="0">
      <text>
        <r>
          <rPr>
            <b/>
            <sz val="9"/>
            <color indexed="81"/>
            <rFont val="Tahoma"/>
            <family val="2"/>
          </rPr>
          <t xml:space="preserve">TODO EN MAYUSCULAS.
PRIMER NOMBRE E INICIAL DEL SEGUNDO
PRIMER APELLIDO E INICIAL DEL SEGUNDO.
</t>
        </r>
      </text>
    </comment>
    <comment ref="E66" authorId="0" shapeId="0">
      <text>
        <r>
          <rPr>
            <sz val="9"/>
            <color indexed="81"/>
            <rFont val="Tahoma"/>
            <family val="2"/>
          </rPr>
          <t>SOLO NÚMERO. NO USE LETRAS NI PUNTOS DE MILES</t>
        </r>
      </text>
    </comment>
  </commentList>
</comments>
</file>

<file path=xl/sharedStrings.xml><?xml version="1.0" encoding="utf-8"?>
<sst xmlns="http://schemas.openxmlformats.org/spreadsheetml/2006/main" count="448" uniqueCount="207">
  <si>
    <t>MES:</t>
  </si>
  <si>
    <t>TOTAL</t>
  </si>
  <si>
    <t>Fecha</t>
  </si>
  <si>
    <t>Varones</t>
  </si>
  <si>
    <t>Hembras</t>
  </si>
  <si>
    <t>Total</t>
  </si>
  <si>
    <t>TOTALES</t>
  </si>
  <si>
    <t>C. I. o C.E</t>
  </si>
  <si>
    <t>APELLIDOS Y NOMBRES</t>
  </si>
  <si>
    <t>LUG. DE NAC.</t>
  </si>
  <si>
    <t>EDAD</t>
  </si>
  <si>
    <t>SEXO</t>
  </si>
  <si>
    <t>MOTIVO</t>
  </si>
  <si>
    <t>ESTADISTICA MENSUAL</t>
  </si>
  <si>
    <t>PLANTEL:</t>
  </si>
  <si>
    <t>AÑO ESCOLAR:</t>
  </si>
  <si>
    <t>CÓD. ESTADISTICO:</t>
  </si>
  <si>
    <t>Matrícula Inicial del mes</t>
  </si>
  <si>
    <t>Ingresos en el mes</t>
  </si>
  <si>
    <t>Egresos en el mes</t>
  </si>
  <si>
    <t>Matrícula final del mes</t>
  </si>
  <si>
    <t>NIVEL</t>
  </si>
  <si>
    <t>INICIAL</t>
  </si>
  <si>
    <t>PRIMARIA</t>
  </si>
  <si>
    <t>Nº</t>
  </si>
  <si>
    <t>NIVEL EDUCACIÓN INICIAL</t>
  </si>
  <si>
    <t>NIVEL EDUCACIÓN PRIMARIA</t>
  </si>
  <si>
    <t>TOTAL ASISTENCIA</t>
  </si>
  <si>
    <t>Promedio Asist.</t>
  </si>
  <si>
    <t>Porcentaje Asist.</t>
  </si>
  <si>
    <t>RELACIÓN DE INGRESOS DURANTE EL MES:</t>
  </si>
  <si>
    <t>FEC. NAC.</t>
  </si>
  <si>
    <t>RELACIÓN DE EGRESOS DURANTE EL MES:</t>
  </si>
  <si>
    <t>Cédula de Identidad Nº:</t>
  </si>
  <si>
    <t>Teléfono(s):</t>
  </si>
  <si>
    <t>Correo Electrónico:</t>
  </si>
  <si>
    <t>F</t>
  </si>
  <si>
    <t>REINGRESO</t>
  </si>
  <si>
    <t>M</t>
  </si>
  <si>
    <t>CÓD. DE PLANTEL:</t>
  </si>
  <si>
    <t>NRO DE DIAS HÁBILES:</t>
  </si>
  <si>
    <t>CAMBIO DE INSTITUCION DEL MISMO MUNICIPIO.</t>
  </si>
  <si>
    <t>CAMBIO DE INSTITUCION DE OTRO MUNICIPIO.</t>
  </si>
  <si>
    <t>CAMBIO DE INSTITUCION DE OTRO ESTADO</t>
  </si>
  <si>
    <t>CAMBIO A INSTITUCION DEL MISMO MUNICIPIO.</t>
  </si>
  <si>
    <t>CAMBIO A INSTITUCION DE OTRO MUNICIPIO.</t>
  </si>
  <si>
    <t>CAMBIO A INSTITUCION DE OTRO ESTADO</t>
  </si>
  <si>
    <t>POR VUELTA A LA PATRIA</t>
  </si>
  <si>
    <t>POR BAJO RENDIMIENTO ESCOLAR</t>
  </si>
  <si>
    <t>POR ESCASOS RECURSOS ECONÓMICOS DE LA FAMILIA</t>
  </si>
  <si>
    <t>PARA INCORPORARSE AL CAMPO DE TRABAJO</t>
  </si>
  <si>
    <t>DEFUNCIÓN</t>
  </si>
  <si>
    <t>ENFERMEDAD</t>
  </si>
  <si>
    <t>EMIGRACIÓN</t>
  </si>
  <si>
    <t>PROBLEMAS FAMILIARES</t>
  </si>
  <si>
    <t>MATRIMONIO O CONCUBINATO</t>
  </si>
  <si>
    <t>EMBARAZO TEMPRANO</t>
  </si>
  <si>
    <t>PROBLEMAS DE DROGAS</t>
  </si>
  <si>
    <t>SANCIÓN PENAL</t>
  </si>
  <si>
    <t>SERVICIO MILITAR</t>
  </si>
  <si>
    <t>CLASIFICACION DE ESTUDIANTES POR EDAD Y SEXO</t>
  </si>
  <si>
    <t>EDUCACIÓN INICIAL</t>
  </si>
  <si>
    <t>EDUCACIÓN PRIMARIA</t>
  </si>
  <si>
    <t>N° DE
SECCIONES</t>
  </si>
  <si>
    <t>NACIONALIDAD</t>
  </si>
  <si>
    <t>GRADOS
DE ESTUDIO</t>
  </si>
  <si>
    <t>N° DE 
SECCIONES</t>
  </si>
  <si>
    <t>TOTAL MATRÍCULA POR EDAD (AÑOS)</t>
  </si>
  <si>
    <t>V</t>
  </si>
  <si>
    <t>E</t>
  </si>
  <si>
    <t>3 AÑOS</t>
  </si>
  <si>
    <t>4 AÑOS</t>
  </si>
  <si>
    <t>5 AÑOS</t>
  </si>
  <si>
    <t>PREESCOLAR</t>
  </si>
  <si>
    <t>MAS</t>
  </si>
  <si>
    <t>PRIMERO</t>
  </si>
  <si>
    <t>FEM</t>
  </si>
  <si>
    <t>SEGUNDO</t>
  </si>
  <si>
    <t>TERCERO</t>
  </si>
  <si>
    <t>CUARTO</t>
  </si>
  <si>
    <t>QUINTO</t>
  </si>
  <si>
    <t>SEXTO</t>
  </si>
  <si>
    <t>EDUCACIÓN MEDIA GENERAL</t>
  </si>
  <si>
    <t>MATERNAL</t>
  </si>
  <si>
    <t>ETAPA MATERNAL</t>
  </si>
  <si>
    <t>ETAPA PREESCOLAR</t>
  </si>
  <si>
    <t>MENOS DE 1 AÑO</t>
  </si>
  <si>
    <t>1 AÑO</t>
  </si>
  <si>
    <t>2 AÑOS</t>
  </si>
  <si>
    <t>21 o más</t>
  </si>
  <si>
    <t>2do GRADO</t>
  </si>
  <si>
    <t>3er GRADO</t>
  </si>
  <si>
    <t>4to GRADO</t>
  </si>
  <si>
    <t>5to GRADO</t>
  </si>
  <si>
    <t>6to GRADO</t>
  </si>
  <si>
    <t>2do AÑO</t>
  </si>
  <si>
    <t>3er AÑO</t>
  </si>
  <si>
    <t>4to AÑO</t>
  </si>
  <si>
    <t>5to AÑO</t>
  </si>
  <si>
    <t>6to AÑO</t>
  </si>
  <si>
    <t>SANCIÓN DISCIPLINARIA/  EXPULSIÓN</t>
  </si>
  <si>
    <t xml:space="preserve">Nº </t>
  </si>
  <si>
    <t>C. I.</t>
  </si>
  <si>
    <t>Turno</t>
  </si>
  <si>
    <t>Sección</t>
  </si>
  <si>
    <t>Asistencia</t>
  </si>
  <si>
    <t>H</t>
  </si>
  <si>
    <t>T</t>
  </si>
  <si>
    <t>%</t>
  </si>
  <si>
    <t>Dependencia</t>
  </si>
  <si>
    <t>AÑOS
DE ESTUDIO</t>
  </si>
  <si>
    <t>REPÙBLICA BOLIVARIANA DE VENEZUELA</t>
  </si>
  <si>
    <t>MINISTERIO DEL PODER POPULAR PARA LA EDUCACIÓN</t>
  </si>
  <si>
    <t>GOBERNACIÓN DEL ESTADO MIRANDA</t>
  </si>
  <si>
    <t>ZONA EDUCATIVA DEL ESTADO BOLIVARIANO DE MIRANDA</t>
  </si>
  <si>
    <t>REGIÓN EDUCATIVA ALTOS MIRANDINOS</t>
  </si>
  <si>
    <t>RELACIÓN DE INGRESOS Y EGRESOS</t>
  </si>
  <si>
    <t>MAÑANA</t>
  </si>
  <si>
    <t>TARDE</t>
  </si>
  <si>
    <t>INTEGRAL</t>
  </si>
  <si>
    <t>COMPLETO</t>
  </si>
  <si>
    <t>Día</t>
  </si>
  <si>
    <t>A</t>
  </si>
  <si>
    <t>B</t>
  </si>
  <si>
    <t>C</t>
  </si>
  <si>
    <t>D</t>
  </si>
  <si>
    <t>G</t>
  </si>
  <si>
    <t>I</t>
  </si>
  <si>
    <t>J</t>
  </si>
  <si>
    <t>K</t>
  </si>
  <si>
    <t>U</t>
  </si>
  <si>
    <t>MES</t>
  </si>
  <si>
    <t>NACIONAL</t>
  </si>
  <si>
    <t>ESTADAL</t>
  </si>
  <si>
    <t>PRIVADA</t>
  </si>
  <si>
    <t>MUNICIPAL</t>
  </si>
  <si>
    <t>AUTÓNOMA</t>
  </si>
  <si>
    <t>NÚMERO DE ESTUDIANTES EMBARAZADAS POR EDAD (AÑOS)</t>
  </si>
  <si>
    <t>EDUCACIÓN MEDIA TÉCNICA</t>
  </si>
  <si>
    <t>NÚMERO DE ESTUDIANTES EMBARAZADAS POR NIVEL EDUCATIVO Y EDAD</t>
  </si>
  <si>
    <t>ESTUDIANTES EMBARAZADAS</t>
  </si>
  <si>
    <t>ESTUDIANTES EXTRANJEROS</t>
  </si>
  <si>
    <t>TOTAL DE ESTUDIANTES POR NACIONALIDAD Y SEXO</t>
  </si>
  <si>
    <t>COLOMBIA</t>
  </si>
  <si>
    <t>BRASIL</t>
  </si>
  <si>
    <t>CUBA</t>
  </si>
  <si>
    <t>PERU</t>
  </si>
  <si>
    <t>ECUADOR</t>
  </si>
  <si>
    <t>BOLIVIA</t>
  </si>
  <si>
    <t>OTRO (ESPECIFIQUE)</t>
  </si>
  <si>
    <t>NÚMERO DE ESTUDIANTES EXTRANJEROS POR PAIS DE NACIMIENTO</t>
  </si>
  <si>
    <t>PAIS DE ORIGEN</t>
  </si>
  <si>
    <t>REGION EDUCATIVA ALTOS MIRANDINOS</t>
  </si>
  <si>
    <t>Matrícula  inicial del mes</t>
  </si>
  <si>
    <t>Asistencia del mes</t>
  </si>
  <si>
    <t>TOTAL GENERAL</t>
  </si>
  <si>
    <t>FECHA INGRESO</t>
  </si>
  <si>
    <t>FECHA EGRESO</t>
  </si>
  <si>
    <t>Nombres y Apellidos</t>
  </si>
  <si>
    <t>6 AÑOS O MÁS</t>
  </si>
  <si>
    <t>20 O MÁS</t>
  </si>
  <si>
    <t>NIVEL EDUCATIVO</t>
  </si>
  <si>
    <t>Cuadro 1</t>
  </si>
  <si>
    <t>Cuadro 2</t>
  </si>
  <si>
    <t>Docente de Aula/Orientador</t>
  </si>
  <si>
    <t>Promedio de Asistencia</t>
  </si>
  <si>
    <t>% Asistencia</t>
  </si>
  <si>
    <t>Días Hábiles</t>
  </si>
  <si>
    <t>Días Laborados</t>
  </si>
  <si>
    <t>Tipo de Personal</t>
  </si>
  <si>
    <t>ADMINISTRATIVO</t>
  </si>
  <si>
    <t xml:space="preserve">DOCENTE </t>
  </si>
  <si>
    <t>OBRERO</t>
  </si>
  <si>
    <t>Inasistencia</t>
  </si>
  <si>
    <t>Días No laborados</t>
  </si>
  <si>
    <t>Justificado</t>
  </si>
  <si>
    <t>Observaciones</t>
  </si>
  <si>
    <t>RELACIÓN DE DOCENTE, MATRÍCULA   ATENDIDA   Y   PORCENTAJE   DE   ASISTENCIA</t>
  </si>
  <si>
    <t>RELACIÓN   DE   PERSONAL   DOCENTE, ADMINISTRATIVO, OBRERO, Y PORCENTAJE   DE   ASISTENCIA</t>
  </si>
  <si>
    <t>SUBTOTAL</t>
  </si>
  <si>
    <t>NIVEL EDUC. MEDIA GRAL Y MEDIA TÉCNICA</t>
  </si>
  <si>
    <t>ETAPA/GRADO/AÑO</t>
  </si>
  <si>
    <t>Nivel/Grado/Año</t>
  </si>
  <si>
    <t>NO</t>
  </si>
  <si>
    <t>21 O MÁS</t>
  </si>
  <si>
    <t>MEDIA GRAL/TEC</t>
  </si>
  <si>
    <t>COMIENZA SU ESCOLARIZACIÓN</t>
  </si>
  <si>
    <t>COCINERO</t>
  </si>
  <si>
    <t>CARRIZAL,</t>
  </si>
  <si>
    <t>Observaciones:</t>
  </si>
  <si>
    <t>LOS SALIAS,</t>
  </si>
  <si>
    <t>GUAICAIPURO,</t>
  </si>
  <si>
    <t>Nombre Director(a):</t>
  </si>
  <si>
    <t>CAMBIO DE SECCIÓN</t>
  </si>
  <si>
    <t>1er GRADO</t>
  </si>
  <si>
    <t>1er AÑO</t>
  </si>
  <si>
    <t>CAMBIO DE SECCION</t>
  </si>
  <si>
    <t>SI</t>
  </si>
  <si>
    <t xml:space="preserve">                                                                 RENUNCIO FECHA 02-03-2022</t>
  </si>
  <si>
    <t xml:space="preserve">Lunes </t>
  </si>
  <si>
    <t>Martes</t>
  </si>
  <si>
    <t>Miercoles</t>
  </si>
  <si>
    <t xml:space="preserve">Jueves </t>
  </si>
  <si>
    <t>Viernes</t>
  </si>
  <si>
    <t>RENUNCIO DICIEMBRE 2023</t>
  </si>
  <si>
    <t>TRASLADO</t>
  </si>
  <si>
    <t xml:space="preserve">                                             TRASLADO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</si>
</sst>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0"/>
    <numFmt numFmtId="165" formatCode="dd/mm/yyyy;@"/>
  </numFmts>
  <fonts count="15" x14ac:knownFonts="1">
    <font>
      <sz val="11"/>
      <color indexed="63"/>
      <name val="Calibri"/>
      <family val="2"/>
      <charset val="1"/>
    </font>
    <font>
      <sz val="10"/>
      <name val="Arial"/>
      <family val="2"/>
      <charset val="1"/>
    </font>
    <font>
      <sz val="10"/>
      <color indexed="63"/>
      <name val="Arial"/>
      <family val="2"/>
    </font>
    <font>
      <sz val="10"/>
      <color indexed="8"/>
      <name val="Arial"/>
      <family val="2"/>
    </font>
    <font>
      <u/>
      <sz val="11"/>
      <color indexed="12"/>
      <name val="Calibri"/>
      <family val="2"/>
      <charset val="1"/>
    </font>
    <font>
      <sz val="11"/>
      <color indexed="63"/>
      <name val="Calibri"/>
      <family val="2"/>
      <charset val="1"/>
    </font>
    <font>
      <sz val="8"/>
      <name val="Calibri"/>
      <family val="2"/>
    </font>
    <font>
      <b/>
      <sz val="10"/>
      <color indexed="63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4" tint="-0.249977111117893"/>
      <name val="Arial"/>
      <family val="2"/>
    </font>
    <font>
      <sz val="10"/>
      <color rgb="FF000000"/>
      <name val="Arial"/>
      <family val="2"/>
    </font>
  </fonts>
  <fills count="24">
    <fill>
      <patternFill patternType="none"/>
    </fill>
    <fill>
      <patternFill patternType="gray125"/>
    </fill>
    <fill>
      <patternFill patternType="solid">
        <fgColor indexed="22"/>
        <bgColor indexed="31"/>
      </patternFill>
    </fill>
    <fill>
      <patternFill patternType="solid">
        <fgColor indexed="9"/>
        <bgColor indexed="26"/>
      </patternFill>
    </fill>
    <fill>
      <patternFill patternType="solid">
        <fgColor indexed="9"/>
        <bgColor indexed="64"/>
      </patternFill>
    </fill>
    <fill>
      <patternFill patternType="solid">
        <fgColor theme="4" tint="0.59996337778862885"/>
        <bgColor indexed="41"/>
      </patternFill>
    </fill>
    <fill>
      <patternFill patternType="solid">
        <fgColor theme="0" tint="-0.14999847407452621"/>
        <bgColor indexed="3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0" tint="-0.249977111117893"/>
        <bgColor indexed="41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D9D9D9"/>
        <bgColor rgb="FFC0C0C0"/>
      </patternFill>
    </fill>
    <fill>
      <patternFill patternType="darkTrellis">
        <fgColor theme="4" tint="0.79995117038483843"/>
        <bgColor theme="0" tint="-0.24994659260841701"/>
      </patternFill>
    </fill>
    <fill>
      <patternFill patternType="darkTrellis">
        <fgColor theme="4" tint="0.79998168889431442"/>
        <bgColor theme="0" tint="-0.24994659260841701"/>
      </patternFill>
    </fill>
    <fill>
      <patternFill patternType="solid">
        <fgColor theme="0" tint="-0.249977111117893"/>
        <bgColor indexed="26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indexed="26"/>
      </patternFill>
    </fill>
    <fill>
      <patternFill patternType="solid">
        <fgColor theme="2" tint="-9.9978637043366805E-2"/>
        <bgColor indexed="41"/>
      </patternFill>
    </fill>
    <fill>
      <patternFill patternType="solid">
        <fgColor theme="2" tint="-9.9978637043366805E-2"/>
        <bgColor indexed="64"/>
      </patternFill>
    </fill>
  </fills>
  <borders count="219">
    <border>
      <left/>
      <right/>
      <top/>
      <bottom/>
      <diagonal/>
    </border>
    <border>
      <left/>
      <right/>
      <top/>
      <bottom style="medium">
        <color indexed="63"/>
      </bottom>
      <diagonal/>
    </border>
    <border>
      <left style="medium">
        <color indexed="63"/>
      </left>
      <right style="thin">
        <color indexed="63"/>
      </right>
      <top/>
      <bottom style="thin">
        <color indexed="63"/>
      </bottom>
      <diagonal/>
    </border>
    <border>
      <left style="thin">
        <color indexed="63"/>
      </left>
      <right style="thin">
        <color indexed="63"/>
      </right>
      <top/>
      <bottom style="thin">
        <color indexed="63"/>
      </bottom>
      <diagonal/>
    </border>
    <border>
      <left style="thin">
        <color indexed="63"/>
      </left>
      <right style="medium">
        <color indexed="63"/>
      </right>
      <top/>
      <bottom style="thin">
        <color indexed="63"/>
      </bottom>
      <diagonal/>
    </border>
    <border>
      <left/>
      <right style="thin">
        <color indexed="63"/>
      </right>
      <top/>
      <bottom style="thin">
        <color indexed="63"/>
      </bottom>
      <diagonal/>
    </border>
    <border>
      <left style="thin">
        <color indexed="63"/>
      </left>
      <right/>
      <top/>
      <bottom style="thin">
        <color indexed="63"/>
      </bottom>
      <diagonal/>
    </border>
    <border>
      <left style="medium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 style="medium">
        <color indexed="63"/>
      </right>
      <top style="thin">
        <color indexed="63"/>
      </top>
      <bottom style="thin">
        <color indexed="63"/>
      </bottom>
      <diagonal/>
    </border>
    <border>
      <left/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/>
      <top style="thin">
        <color indexed="63"/>
      </top>
      <bottom style="thin">
        <color indexed="63"/>
      </bottom>
      <diagonal/>
    </border>
    <border>
      <left style="medium">
        <color indexed="63"/>
      </left>
      <right style="thin">
        <color indexed="63"/>
      </right>
      <top style="thin">
        <color indexed="63"/>
      </top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/>
      <diagonal/>
    </border>
    <border>
      <left style="thin">
        <color indexed="63"/>
      </left>
      <right style="medium">
        <color indexed="63"/>
      </right>
      <top style="thin">
        <color indexed="63"/>
      </top>
      <bottom/>
      <diagonal/>
    </border>
    <border>
      <left/>
      <right style="thin">
        <color indexed="63"/>
      </right>
      <top style="thin">
        <color indexed="63"/>
      </top>
      <bottom/>
      <diagonal/>
    </border>
    <border>
      <left style="thin">
        <color indexed="63"/>
      </left>
      <right/>
      <top style="thin">
        <color indexed="63"/>
      </top>
      <bottom/>
      <diagonal/>
    </border>
    <border>
      <left style="medium">
        <color indexed="63"/>
      </left>
      <right style="thin">
        <color indexed="63"/>
      </right>
      <top style="medium">
        <color indexed="63"/>
      </top>
      <bottom style="medium">
        <color indexed="63"/>
      </bottom>
      <diagonal/>
    </border>
    <border>
      <left style="thin">
        <color indexed="63"/>
      </left>
      <right style="thin">
        <color indexed="63"/>
      </right>
      <top style="medium">
        <color indexed="63"/>
      </top>
      <bottom style="medium">
        <color indexed="63"/>
      </bottom>
      <diagonal/>
    </border>
    <border>
      <left style="thin">
        <color indexed="63"/>
      </left>
      <right style="medium">
        <color indexed="63"/>
      </right>
      <top style="medium">
        <color indexed="63"/>
      </top>
      <bottom style="medium">
        <color indexed="63"/>
      </bottom>
      <diagonal/>
    </border>
    <border>
      <left/>
      <right style="thin">
        <color indexed="63"/>
      </right>
      <top style="medium">
        <color indexed="63"/>
      </top>
      <bottom style="medium">
        <color indexed="63"/>
      </bottom>
      <diagonal/>
    </border>
    <border>
      <left style="thin">
        <color indexed="63"/>
      </left>
      <right/>
      <top style="medium">
        <color indexed="63"/>
      </top>
      <bottom style="medium">
        <color indexed="63"/>
      </bottom>
      <diagonal/>
    </border>
    <border>
      <left style="medium">
        <color indexed="63"/>
      </left>
      <right style="thin">
        <color indexed="63"/>
      </right>
      <top style="thin">
        <color indexed="63"/>
      </top>
      <bottom style="medium">
        <color indexed="63"/>
      </bottom>
      <diagonal/>
    </border>
    <border>
      <left style="thin">
        <color indexed="63"/>
      </left>
      <right/>
      <top style="thin">
        <color indexed="63"/>
      </top>
      <bottom style="medium">
        <color indexed="63"/>
      </bottom>
      <diagonal/>
    </border>
    <border>
      <left style="thin">
        <color indexed="63"/>
      </left>
      <right style="medium">
        <color indexed="63"/>
      </right>
      <top style="thin">
        <color indexed="63"/>
      </top>
      <bottom style="medium">
        <color indexed="63"/>
      </bottom>
      <diagonal/>
    </border>
    <border>
      <left style="medium">
        <color indexed="63"/>
      </left>
      <right style="medium">
        <color indexed="63"/>
      </right>
      <top/>
      <bottom style="thin">
        <color indexed="63"/>
      </bottom>
      <diagonal/>
    </border>
    <border>
      <left style="medium">
        <color indexed="63"/>
      </left>
      <right style="medium">
        <color indexed="63"/>
      </right>
      <top style="thin">
        <color indexed="63"/>
      </top>
      <bottom style="thin">
        <color indexed="63"/>
      </bottom>
      <diagonal/>
    </border>
    <border>
      <left style="medium">
        <color indexed="63"/>
      </left>
      <right style="medium">
        <color indexed="63"/>
      </right>
      <top style="thin">
        <color indexed="63"/>
      </top>
      <bottom style="medium">
        <color indexed="63"/>
      </bottom>
      <diagonal/>
    </border>
    <border>
      <left style="medium">
        <color indexed="63"/>
      </left>
      <right style="medium">
        <color indexed="63"/>
      </right>
      <top style="medium">
        <color indexed="63"/>
      </top>
      <bottom style="medium">
        <color indexed="63"/>
      </bottom>
      <diagonal/>
    </border>
    <border>
      <left style="medium">
        <color indexed="63"/>
      </left>
      <right/>
      <top/>
      <bottom style="thin">
        <color indexed="63"/>
      </bottom>
      <diagonal/>
    </border>
    <border>
      <left style="thin">
        <color indexed="63"/>
      </left>
      <right style="thin">
        <color indexed="63"/>
      </right>
      <top style="medium">
        <color indexed="63"/>
      </top>
      <bottom style="thin">
        <color indexed="63"/>
      </bottom>
      <diagonal/>
    </border>
    <border>
      <left style="medium">
        <color indexed="63"/>
      </left>
      <right style="thin">
        <color indexed="63"/>
      </right>
      <top style="medium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3"/>
      </right>
      <top style="thin">
        <color indexed="64"/>
      </top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medium">
        <color indexed="63"/>
      </bottom>
      <diagonal/>
    </border>
    <border>
      <left style="thin">
        <color indexed="59"/>
      </left>
      <right style="thin">
        <color indexed="59"/>
      </right>
      <top style="thin">
        <color indexed="59"/>
      </top>
      <bottom style="medium">
        <color indexed="59"/>
      </bottom>
      <diagonal/>
    </border>
    <border>
      <left style="thin">
        <color indexed="59"/>
      </left>
      <right style="thin">
        <color indexed="59"/>
      </right>
      <top/>
      <bottom style="thin">
        <color indexed="59"/>
      </bottom>
      <diagonal/>
    </border>
    <border>
      <left style="thin">
        <color indexed="59"/>
      </left>
      <right/>
      <top/>
      <bottom style="thin">
        <color indexed="59"/>
      </bottom>
      <diagonal/>
    </border>
    <border>
      <left style="thin">
        <color indexed="59"/>
      </left>
      <right style="thin">
        <color indexed="59"/>
      </right>
      <top style="thin">
        <color indexed="59"/>
      </top>
      <bottom/>
      <diagonal/>
    </border>
    <border>
      <left style="thin">
        <color indexed="59"/>
      </left>
      <right/>
      <top style="thin">
        <color indexed="59"/>
      </top>
      <bottom/>
      <diagonal/>
    </border>
    <border>
      <left style="thin">
        <color indexed="59"/>
      </left>
      <right/>
      <top style="thin">
        <color indexed="59"/>
      </top>
      <bottom style="medium">
        <color indexed="59"/>
      </bottom>
      <diagonal/>
    </border>
    <border>
      <left style="thin">
        <color indexed="59"/>
      </left>
      <right style="thin">
        <color indexed="59"/>
      </right>
      <top style="medium">
        <color indexed="59"/>
      </top>
      <bottom style="thin">
        <color indexed="59"/>
      </bottom>
      <diagonal/>
    </border>
    <border>
      <left style="thin">
        <color indexed="59"/>
      </left>
      <right/>
      <top style="medium">
        <color indexed="59"/>
      </top>
      <bottom style="thin">
        <color indexed="59"/>
      </bottom>
      <diagonal/>
    </border>
    <border>
      <left style="thin">
        <color indexed="59"/>
      </left>
      <right style="medium">
        <color indexed="59"/>
      </right>
      <top style="medium">
        <color indexed="59"/>
      </top>
      <bottom style="thin">
        <color indexed="59"/>
      </bottom>
      <diagonal/>
    </border>
    <border>
      <left style="thin">
        <color indexed="59"/>
      </left>
      <right style="medium">
        <color indexed="59"/>
      </right>
      <top style="medium">
        <color indexed="59"/>
      </top>
      <bottom style="medium">
        <color indexed="59"/>
      </bottom>
      <diagonal/>
    </border>
    <border>
      <left style="thin">
        <color indexed="59"/>
      </left>
      <right style="thin">
        <color indexed="59"/>
      </right>
      <top style="medium">
        <color indexed="59"/>
      </top>
      <bottom style="medium">
        <color indexed="59"/>
      </bottom>
      <diagonal/>
    </border>
    <border>
      <left style="thin">
        <color indexed="59"/>
      </left>
      <right/>
      <top style="medium">
        <color indexed="59"/>
      </top>
      <bottom style="medium">
        <color indexed="59"/>
      </bottom>
      <diagonal/>
    </border>
    <border>
      <left style="medium">
        <color indexed="59"/>
      </left>
      <right style="medium">
        <color indexed="59"/>
      </right>
      <top style="medium">
        <color indexed="59"/>
      </top>
      <bottom style="thin">
        <color indexed="59"/>
      </bottom>
      <diagonal/>
    </border>
    <border>
      <left style="medium">
        <color indexed="59"/>
      </left>
      <right style="medium">
        <color indexed="59"/>
      </right>
      <top style="thin">
        <color indexed="59"/>
      </top>
      <bottom style="medium">
        <color indexed="59"/>
      </bottom>
      <diagonal/>
    </border>
    <border>
      <left style="medium">
        <color indexed="59"/>
      </left>
      <right style="medium">
        <color indexed="59"/>
      </right>
      <top style="medium">
        <color indexed="59"/>
      </top>
      <bottom style="medium">
        <color indexed="59"/>
      </bottom>
      <diagonal/>
    </border>
    <border>
      <left style="medium">
        <color indexed="63"/>
      </left>
      <right/>
      <top style="medium">
        <color indexed="63"/>
      </top>
      <bottom style="medium">
        <color indexed="63"/>
      </bottom>
      <diagonal/>
    </border>
    <border>
      <left/>
      <right style="thin">
        <color indexed="59"/>
      </right>
      <top/>
      <bottom style="medium">
        <color indexed="59"/>
      </bottom>
      <diagonal/>
    </border>
    <border>
      <left style="medium">
        <color indexed="63"/>
      </left>
      <right style="thin">
        <color indexed="63"/>
      </right>
      <top style="medium">
        <color indexed="63"/>
      </top>
      <bottom/>
      <diagonal/>
    </border>
    <border>
      <left style="thin">
        <color indexed="63"/>
      </left>
      <right style="thin">
        <color indexed="63"/>
      </right>
      <top style="medium">
        <color indexed="63"/>
      </top>
      <bottom/>
      <diagonal/>
    </border>
    <border>
      <left style="medium">
        <color indexed="63"/>
      </left>
      <right style="medium">
        <color indexed="63"/>
      </right>
      <top style="medium">
        <color indexed="63"/>
      </top>
      <bottom style="thin">
        <color indexed="63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59"/>
      </left>
      <right style="thin">
        <color indexed="59"/>
      </right>
      <top/>
      <bottom style="medium">
        <color indexed="59"/>
      </bottom>
      <diagonal/>
    </border>
    <border>
      <left style="thin">
        <color indexed="59"/>
      </left>
      <right/>
      <top/>
      <bottom style="medium">
        <color indexed="59"/>
      </bottom>
      <diagonal/>
    </border>
    <border>
      <left style="thin">
        <color indexed="64"/>
      </left>
      <right style="medium">
        <color indexed="64"/>
      </right>
      <top/>
      <bottom style="thin">
        <color indexed="59"/>
      </bottom>
      <diagonal/>
    </border>
    <border>
      <left style="thin">
        <color indexed="64"/>
      </left>
      <right style="medium">
        <color indexed="64"/>
      </right>
      <top style="thin">
        <color indexed="59"/>
      </top>
      <bottom/>
      <diagonal/>
    </border>
    <border>
      <left/>
      <right style="thin">
        <color indexed="59"/>
      </right>
      <top/>
      <bottom style="thin">
        <color indexed="59"/>
      </bottom>
      <diagonal/>
    </border>
    <border>
      <left/>
      <right/>
      <top style="medium">
        <color indexed="59"/>
      </top>
      <bottom style="medium">
        <color indexed="59"/>
      </bottom>
      <diagonal/>
    </border>
    <border>
      <left style="thin">
        <color indexed="59"/>
      </left>
      <right style="medium">
        <color indexed="59"/>
      </right>
      <top style="thin">
        <color indexed="59"/>
      </top>
      <bottom style="medium">
        <color indexed="59"/>
      </bottom>
      <diagonal/>
    </border>
    <border>
      <left style="thin">
        <color indexed="59"/>
      </left>
      <right style="medium">
        <color indexed="59"/>
      </right>
      <top/>
      <bottom style="thin">
        <color indexed="59"/>
      </bottom>
      <diagonal/>
    </border>
    <border>
      <left style="thin">
        <color indexed="59"/>
      </left>
      <right style="medium">
        <color indexed="59"/>
      </right>
      <top style="thin">
        <color indexed="59"/>
      </top>
      <bottom/>
      <diagonal/>
    </border>
    <border>
      <left style="thin">
        <color indexed="64"/>
      </left>
      <right style="medium">
        <color indexed="64"/>
      </right>
      <top style="thin">
        <color indexed="59"/>
      </top>
      <bottom style="medium">
        <color indexed="59"/>
      </bottom>
      <diagonal/>
    </border>
    <border>
      <left/>
      <right style="thin">
        <color indexed="59"/>
      </right>
      <top style="thin">
        <color indexed="59"/>
      </top>
      <bottom style="medium">
        <color indexed="59"/>
      </bottom>
      <diagonal/>
    </border>
    <border>
      <left/>
      <right style="thin">
        <color indexed="59"/>
      </right>
      <top style="medium">
        <color indexed="59"/>
      </top>
      <bottom style="medium">
        <color indexed="59"/>
      </bottom>
      <diagonal/>
    </border>
    <border>
      <left style="medium">
        <color indexed="59"/>
      </left>
      <right style="thin">
        <color indexed="59"/>
      </right>
      <top/>
      <bottom style="thin">
        <color indexed="59"/>
      </bottom>
      <diagonal/>
    </border>
    <border>
      <left style="medium">
        <color indexed="59"/>
      </left>
      <right style="thin">
        <color indexed="59"/>
      </right>
      <top style="thin">
        <color indexed="59"/>
      </top>
      <bottom/>
      <diagonal/>
    </border>
    <border>
      <left style="medium">
        <color indexed="59"/>
      </left>
      <right style="thin">
        <color indexed="59"/>
      </right>
      <top style="medium">
        <color indexed="59"/>
      </top>
      <bottom style="medium">
        <color indexed="59"/>
      </bottom>
      <diagonal/>
    </border>
    <border>
      <left style="medium">
        <color indexed="59"/>
      </left>
      <right style="medium">
        <color indexed="64"/>
      </right>
      <top style="medium">
        <color indexed="59"/>
      </top>
      <bottom style="thin">
        <color indexed="59"/>
      </bottom>
      <diagonal/>
    </border>
    <border>
      <left style="medium">
        <color indexed="59"/>
      </left>
      <right style="medium">
        <color indexed="64"/>
      </right>
      <top style="thin">
        <color indexed="59"/>
      </top>
      <bottom style="medium">
        <color indexed="59"/>
      </bottom>
      <diagonal/>
    </border>
    <border>
      <left style="medium">
        <color indexed="59"/>
      </left>
      <right style="medium">
        <color indexed="64"/>
      </right>
      <top/>
      <bottom style="thin">
        <color indexed="59"/>
      </bottom>
      <diagonal/>
    </border>
    <border>
      <left style="medium">
        <color indexed="59"/>
      </left>
      <right style="medium">
        <color indexed="64"/>
      </right>
      <top style="thin">
        <color indexed="59"/>
      </top>
      <bottom/>
      <diagonal/>
    </border>
    <border>
      <left style="thin">
        <color indexed="59"/>
      </left>
      <right style="thin">
        <color indexed="59"/>
      </right>
      <top style="medium">
        <color indexed="59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3"/>
      </top>
      <bottom style="thin">
        <color indexed="63"/>
      </bottom>
      <diagonal/>
    </border>
    <border>
      <left style="medium">
        <color indexed="63"/>
      </left>
      <right/>
      <top style="thin">
        <color indexed="63"/>
      </top>
      <bottom style="medium">
        <color indexed="63"/>
      </bottom>
      <diagonal/>
    </border>
    <border>
      <left/>
      <right/>
      <top style="thin">
        <color indexed="63"/>
      </top>
      <bottom style="medium">
        <color indexed="63"/>
      </bottom>
      <diagonal/>
    </border>
    <border>
      <left/>
      <right style="medium">
        <color indexed="63"/>
      </right>
      <top style="thin">
        <color indexed="63"/>
      </top>
      <bottom style="medium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3"/>
      </top>
      <bottom style="medium">
        <color indexed="63"/>
      </bottom>
      <diagonal/>
    </border>
    <border>
      <left/>
      <right style="medium">
        <color indexed="63"/>
      </right>
      <top style="medium">
        <color indexed="63"/>
      </top>
      <bottom style="medium">
        <color indexed="63"/>
      </bottom>
      <diagonal/>
    </border>
    <border>
      <left style="medium">
        <color indexed="63"/>
      </left>
      <right/>
      <top style="medium">
        <color indexed="63"/>
      </top>
      <bottom style="thin">
        <color indexed="63"/>
      </bottom>
      <diagonal/>
    </border>
    <border>
      <left/>
      <right/>
      <top/>
      <bottom style="thin">
        <color indexed="63"/>
      </bottom>
      <diagonal/>
    </border>
    <border>
      <left style="medium">
        <color indexed="63"/>
      </left>
      <right style="medium">
        <color indexed="63"/>
      </right>
      <top style="thin">
        <color indexed="63"/>
      </top>
      <bottom/>
      <diagonal/>
    </border>
    <border>
      <left/>
      <right/>
      <top style="medium">
        <color indexed="63"/>
      </top>
      <bottom style="thin">
        <color indexed="63"/>
      </bottom>
      <diagonal/>
    </border>
    <border>
      <left/>
      <right style="medium">
        <color indexed="63"/>
      </right>
      <top style="medium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3"/>
      </right>
      <top/>
      <bottom style="medium">
        <color indexed="63"/>
      </bottom>
      <diagonal/>
    </border>
    <border>
      <left/>
      <right style="thin">
        <color indexed="63"/>
      </right>
      <top style="thin">
        <color indexed="63"/>
      </top>
      <bottom style="medium">
        <color indexed="63"/>
      </bottom>
      <diagonal/>
    </border>
    <border>
      <left style="thin">
        <color indexed="63"/>
      </left>
      <right/>
      <top style="medium">
        <color indexed="63"/>
      </top>
      <bottom style="thin">
        <color indexed="63"/>
      </bottom>
      <diagonal/>
    </border>
    <border>
      <left/>
      <right style="thin">
        <color indexed="63"/>
      </right>
      <top style="medium">
        <color indexed="63"/>
      </top>
      <bottom style="thin">
        <color indexed="63"/>
      </bottom>
      <diagonal/>
    </border>
    <border>
      <left style="thin">
        <color indexed="63"/>
      </left>
      <right/>
      <top style="medium">
        <color indexed="63"/>
      </top>
      <bottom/>
      <diagonal/>
    </border>
    <border>
      <left/>
      <right style="thin">
        <color indexed="63"/>
      </right>
      <top style="medium">
        <color indexed="63"/>
      </top>
      <bottom/>
      <diagonal/>
    </border>
    <border>
      <left/>
      <right/>
      <top style="thin">
        <color indexed="64"/>
      </top>
      <bottom style="thin">
        <color indexed="63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59"/>
      </top>
      <bottom style="thin">
        <color indexed="59"/>
      </bottom>
      <diagonal/>
    </border>
    <border>
      <left style="thin">
        <color indexed="59"/>
      </left>
      <right style="thin">
        <color indexed="59"/>
      </right>
      <top style="medium">
        <color indexed="64"/>
      </top>
      <bottom style="thin">
        <color indexed="59"/>
      </bottom>
      <diagonal/>
    </border>
    <border>
      <left style="medium">
        <color indexed="59"/>
      </left>
      <right style="thin">
        <color indexed="59"/>
      </right>
      <top style="medium">
        <color indexed="59"/>
      </top>
      <bottom style="thin">
        <color indexed="59"/>
      </bottom>
      <diagonal/>
    </border>
    <border>
      <left style="medium">
        <color indexed="59"/>
      </left>
      <right/>
      <top style="medium">
        <color indexed="59"/>
      </top>
      <bottom style="thin">
        <color indexed="59"/>
      </bottom>
      <diagonal/>
    </border>
    <border>
      <left style="medium">
        <color indexed="59"/>
      </left>
      <right/>
      <top style="medium">
        <color indexed="59"/>
      </top>
      <bottom style="medium">
        <color indexed="59"/>
      </bottom>
      <diagonal/>
    </border>
    <border>
      <left/>
      <right style="medium">
        <color indexed="59"/>
      </right>
      <top style="medium">
        <color indexed="59"/>
      </top>
      <bottom style="medium">
        <color indexed="59"/>
      </bottom>
      <diagonal/>
    </border>
    <border>
      <left style="medium">
        <color indexed="59"/>
      </left>
      <right/>
      <top style="thin">
        <color indexed="59"/>
      </top>
      <bottom/>
      <diagonal/>
    </border>
    <border>
      <left style="thin">
        <color indexed="59"/>
      </left>
      <right style="thin">
        <color indexed="59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59"/>
      </right>
      <top style="medium">
        <color indexed="64"/>
      </top>
      <bottom style="medium">
        <color indexed="59"/>
      </bottom>
      <diagonal/>
    </border>
    <border>
      <left style="medium">
        <color indexed="59"/>
      </left>
      <right style="thin">
        <color indexed="59"/>
      </right>
      <top style="medium">
        <color indexed="64"/>
      </top>
      <bottom style="medium">
        <color indexed="59"/>
      </bottom>
      <diagonal/>
    </border>
    <border>
      <left style="medium">
        <color indexed="64"/>
      </left>
      <right style="thin">
        <color indexed="59"/>
      </right>
      <top style="medium">
        <color indexed="59"/>
      </top>
      <bottom style="medium">
        <color indexed="59"/>
      </bottom>
      <diagonal/>
    </border>
    <border>
      <left style="thin">
        <color indexed="59"/>
      </left>
      <right style="thin">
        <color indexed="59"/>
      </right>
      <top style="medium">
        <color indexed="64"/>
      </top>
      <bottom style="medium">
        <color indexed="59"/>
      </bottom>
      <diagonal/>
    </border>
    <border>
      <left style="medium">
        <color indexed="59"/>
      </left>
      <right/>
      <top style="medium">
        <color indexed="59"/>
      </top>
      <bottom/>
      <diagonal/>
    </border>
    <border>
      <left/>
      <right/>
      <top style="medium">
        <color indexed="59"/>
      </top>
      <bottom/>
      <diagonal/>
    </border>
    <border>
      <left style="medium">
        <color indexed="59"/>
      </left>
      <right/>
      <top/>
      <bottom style="medium">
        <color indexed="59"/>
      </bottom>
      <diagonal/>
    </border>
    <border>
      <left/>
      <right/>
      <top/>
      <bottom style="medium">
        <color indexed="59"/>
      </bottom>
      <diagonal/>
    </border>
    <border>
      <left style="medium">
        <color indexed="64"/>
      </left>
      <right style="thin">
        <color indexed="59"/>
      </right>
      <top style="medium">
        <color indexed="59"/>
      </top>
      <bottom style="medium">
        <color indexed="64"/>
      </bottom>
      <diagonal/>
    </border>
    <border>
      <left style="medium">
        <color indexed="59"/>
      </left>
      <right style="thin">
        <color indexed="59"/>
      </right>
      <top style="medium">
        <color indexed="59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theme="4" tint="0.39994506668294322"/>
      </top>
      <bottom style="thin">
        <color theme="4" tint="0.39994506668294322"/>
      </bottom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/>
      <right/>
      <top style="thin">
        <color theme="4" tint="0.39994506668294322"/>
      </top>
      <bottom/>
      <diagonal/>
    </border>
    <border>
      <left/>
      <right style="thin">
        <color theme="4" tint="0.39994506668294322"/>
      </right>
      <top style="thin">
        <color theme="4" tint="0.39994506668294322"/>
      </top>
      <bottom/>
      <diagonal/>
    </border>
    <border>
      <left style="medium">
        <color theme="4" tint="0.39994506668294322"/>
      </left>
      <right/>
      <top style="thin">
        <color theme="4" tint="0.39994506668294322"/>
      </top>
      <bottom style="thin">
        <color theme="4" tint="0.39994506668294322"/>
      </bottom>
      <diagonal/>
    </border>
    <border>
      <left style="medium">
        <color theme="4" tint="0.39994506668294322"/>
      </left>
      <right/>
      <top style="thin">
        <color theme="4" tint="0.39994506668294322"/>
      </top>
      <bottom/>
      <diagonal/>
    </border>
    <border>
      <left style="thin">
        <color theme="4" tint="0.39994506668294322"/>
      </left>
      <right/>
      <top/>
      <bottom/>
      <diagonal/>
    </border>
    <border>
      <left style="thin">
        <color indexed="63"/>
      </left>
      <right style="medium">
        <color indexed="63"/>
      </right>
      <top style="medium">
        <color indexed="63"/>
      </top>
      <bottom style="thin">
        <color indexed="63"/>
      </bottom>
      <diagonal/>
    </border>
    <border>
      <left style="thin">
        <color indexed="63"/>
      </left>
      <right/>
      <top/>
      <bottom style="medium">
        <color indexed="63"/>
      </bottom>
      <diagonal/>
    </border>
    <border>
      <left/>
      <right style="thin">
        <color indexed="63"/>
      </right>
      <top/>
      <bottom style="medium">
        <color indexed="63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59"/>
      </right>
      <top/>
      <bottom/>
      <diagonal/>
    </border>
    <border>
      <left style="thin">
        <color indexed="59"/>
      </left>
      <right/>
      <top/>
      <bottom/>
      <diagonal/>
    </border>
    <border>
      <left style="medium">
        <color indexed="59"/>
      </left>
      <right style="medium">
        <color indexed="59"/>
      </right>
      <top/>
      <bottom/>
      <diagonal/>
    </border>
    <border>
      <left style="medium">
        <color indexed="59"/>
      </left>
      <right style="thin">
        <color indexed="59"/>
      </right>
      <top style="medium">
        <color indexed="59"/>
      </top>
      <bottom/>
      <diagonal/>
    </border>
    <border>
      <left style="thin">
        <color indexed="59"/>
      </left>
      <right style="thin">
        <color indexed="59"/>
      </right>
      <top style="medium">
        <color indexed="59"/>
      </top>
      <bottom/>
      <diagonal/>
    </border>
    <border>
      <left style="medium">
        <color indexed="59"/>
      </left>
      <right style="thin">
        <color indexed="59"/>
      </right>
      <top/>
      <bottom style="medium">
        <color indexed="59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59"/>
      </left>
      <right style="medium">
        <color indexed="59"/>
      </right>
      <top style="medium">
        <color indexed="64"/>
      </top>
      <bottom style="medium">
        <color indexed="59"/>
      </bottom>
      <diagonal/>
    </border>
    <border>
      <left/>
      <right style="thin">
        <color indexed="59"/>
      </right>
      <top style="medium">
        <color indexed="59"/>
      </top>
      <bottom style="thin">
        <color indexed="59"/>
      </bottom>
      <diagonal/>
    </border>
    <border>
      <left style="thin">
        <color indexed="59"/>
      </left>
      <right style="medium">
        <color indexed="59"/>
      </right>
      <top/>
      <bottom/>
      <diagonal/>
    </border>
    <border>
      <left style="thin">
        <color indexed="64"/>
      </left>
      <right style="medium">
        <color indexed="59"/>
      </right>
      <top style="thin">
        <color indexed="64"/>
      </top>
      <bottom/>
      <diagonal/>
    </border>
    <border>
      <left style="thin">
        <color indexed="64"/>
      </left>
      <right style="medium">
        <color indexed="59"/>
      </right>
      <top style="medium">
        <color indexed="64"/>
      </top>
      <bottom/>
      <diagonal/>
    </border>
    <border>
      <left style="thin">
        <color indexed="64"/>
      </left>
      <right style="medium">
        <color indexed="59"/>
      </right>
      <top style="thin">
        <color indexed="64"/>
      </top>
      <bottom style="medium">
        <color indexed="64"/>
      </bottom>
      <diagonal/>
    </border>
    <border>
      <left style="thin">
        <color indexed="59"/>
      </left>
      <right style="medium">
        <color indexed="59"/>
      </right>
      <top/>
      <bottom style="medium">
        <color indexed="59"/>
      </bottom>
      <diagonal/>
    </border>
    <border>
      <left/>
      <right style="thin">
        <color indexed="59"/>
      </right>
      <top style="thin">
        <color indexed="59"/>
      </top>
      <bottom/>
      <diagonal/>
    </border>
    <border>
      <left/>
      <right style="thin">
        <color indexed="59"/>
      </right>
      <top style="medium">
        <color indexed="59"/>
      </top>
      <bottom style="medium">
        <color indexed="64"/>
      </bottom>
      <diagonal/>
    </border>
    <border>
      <left style="thin">
        <color indexed="59"/>
      </left>
      <right style="medium">
        <color indexed="64"/>
      </right>
      <top style="medium">
        <color indexed="64"/>
      </top>
      <bottom style="thin">
        <color indexed="59"/>
      </bottom>
      <diagonal/>
    </border>
    <border>
      <left style="thin">
        <color indexed="59"/>
      </left>
      <right style="medium">
        <color indexed="64"/>
      </right>
      <top style="thin">
        <color indexed="59"/>
      </top>
      <bottom style="medium">
        <color indexed="59"/>
      </bottom>
      <diagonal/>
    </border>
    <border>
      <left style="thin">
        <color indexed="59"/>
      </left>
      <right style="medium">
        <color indexed="64"/>
      </right>
      <top style="medium">
        <color indexed="59"/>
      </top>
      <bottom style="thin">
        <color indexed="59"/>
      </bottom>
      <diagonal/>
    </border>
    <border>
      <left style="thin">
        <color indexed="59"/>
      </left>
      <right style="medium">
        <color indexed="64"/>
      </right>
      <top/>
      <bottom style="thin">
        <color indexed="59"/>
      </bottom>
      <diagonal/>
    </border>
    <border>
      <left style="thin">
        <color indexed="59"/>
      </left>
      <right style="medium">
        <color indexed="64"/>
      </right>
      <top style="thin">
        <color indexed="59"/>
      </top>
      <bottom/>
      <diagonal/>
    </border>
    <border>
      <left style="thin">
        <color indexed="59"/>
      </left>
      <right style="medium">
        <color indexed="64"/>
      </right>
      <top style="medium">
        <color indexed="59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/>
      <bottom style="thin">
        <color indexed="59"/>
      </bottom>
      <diagonal/>
    </border>
    <border>
      <left/>
      <right style="medium">
        <color indexed="64"/>
      </right>
      <top/>
      <bottom style="thin">
        <color indexed="59"/>
      </bottom>
      <diagonal/>
    </border>
    <border>
      <left style="medium">
        <color indexed="59"/>
      </left>
      <right style="medium">
        <color indexed="59"/>
      </right>
      <top/>
      <bottom style="medium">
        <color indexed="59"/>
      </bottom>
      <diagonal/>
    </border>
    <border>
      <left style="medium">
        <color indexed="59"/>
      </left>
      <right style="medium">
        <color indexed="64"/>
      </right>
      <top/>
      <bottom style="medium">
        <color indexed="59"/>
      </bottom>
      <diagonal/>
    </border>
    <border>
      <left/>
      <right style="medium">
        <color indexed="59"/>
      </right>
      <top style="medium">
        <color indexed="59"/>
      </top>
      <bottom style="thin">
        <color indexed="59"/>
      </bottom>
      <diagonal/>
    </border>
    <border>
      <left style="medium">
        <color indexed="64"/>
      </left>
      <right/>
      <top style="medium">
        <color indexed="59"/>
      </top>
      <bottom style="thin">
        <color indexed="59"/>
      </bottom>
      <diagonal/>
    </border>
    <border>
      <left/>
      <right style="thin">
        <color indexed="64"/>
      </right>
      <top style="thin">
        <color indexed="63"/>
      </top>
      <bottom style="thin">
        <color indexed="63"/>
      </bottom>
      <diagonal/>
    </border>
  </borders>
  <cellStyleXfs count="9">
    <xf numFmtId="0" fontId="0" fillId="0" borderId="0"/>
    <xf numFmtId="0" fontId="2" fillId="0" borderId="0"/>
    <xf numFmtId="0" fontId="2" fillId="0" borderId="0" applyBorder="0" applyProtection="0"/>
    <xf numFmtId="0" fontId="4" fillId="0" borderId="0"/>
    <xf numFmtId="0" fontId="1" fillId="0" borderId="0"/>
    <xf numFmtId="0" fontId="3" fillId="0" borderId="0"/>
    <xf numFmtId="0" fontId="1" fillId="0" borderId="0"/>
    <xf numFmtId="9" fontId="5" fillId="0" borderId="0"/>
    <xf numFmtId="0" fontId="1" fillId="0" borderId="0"/>
  </cellStyleXfs>
  <cellXfs count="673">
    <xf numFmtId="0" fontId="0" fillId="0" borderId="0" xfId="0"/>
    <xf numFmtId="164" fontId="13" fillId="0" borderId="169" xfId="0" applyNumberFormat="1" applyFont="1" applyBorder="1" applyAlignment="1">
      <alignment vertical="center" wrapText="1"/>
    </xf>
    <xf numFmtId="164" fontId="13" fillId="0" borderId="170" xfId="0" applyNumberFormat="1" applyFont="1" applyBorder="1" applyAlignment="1">
      <alignment vertical="center" wrapText="1"/>
    </xf>
    <xf numFmtId="164" fontId="13" fillId="0" borderId="169" xfId="0" applyNumberFormat="1" applyFont="1" applyBorder="1" applyAlignment="1">
      <alignment vertical="center"/>
    </xf>
    <xf numFmtId="164" fontId="13" fillId="0" borderId="170" xfId="0" applyNumberFormat="1" applyFont="1" applyBorder="1" applyAlignment="1">
      <alignment vertical="center"/>
    </xf>
    <xf numFmtId="164" fontId="13" fillId="0" borderId="171" xfId="0" applyNumberFormat="1" applyFont="1" applyBorder="1" applyAlignment="1">
      <alignment vertical="center" wrapText="1"/>
    </xf>
    <xf numFmtId="164" fontId="13" fillId="0" borderId="172" xfId="0" applyNumberFormat="1" applyFont="1" applyBorder="1" applyAlignment="1">
      <alignment vertical="center" wrapText="1"/>
    </xf>
    <xf numFmtId="164" fontId="13" fillId="0" borderId="0" xfId="0" applyNumberFormat="1" applyFont="1" applyBorder="1" applyAlignment="1">
      <alignment vertical="center" wrapText="1"/>
    </xf>
    <xf numFmtId="0" fontId="0" fillId="0" borderId="0" xfId="0" applyAlignment="1"/>
    <xf numFmtId="0" fontId="6" fillId="0" borderId="0" xfId="0" applyFont="1"/>
    <xf numFmtId="0" fontId="6" fillId="0" borderId="0" xfId="0" applyFont="1" applyAlignment="1"/>
    <xf numFmtId="164" fontId="6" fillId="0" borderId="173" xfId="0" applyNumberFormat="1" applyFont="1" applyBorder="1" applyAlignment="1">
      <alignment vertical="center" wrapText="1"/>
    </xf>
    <xf numFmtId="164" fontId="6" fillId="0" borderId="173" xfId="0" applyNumberFormat="1" applyFont="1" applyBorder="1" applyAlignment="1">
      <alignment vertical="center"/>
    </xf>
    <xf numFmtId="164" fontId="6" fillId="0" borderId="174" xfId="0" applyNumberFormat="1" applyFont="1" applyBorder="1" applyAlignment="1">
      <alignment vertical="center" wrapText="1"/>
    </xf>
    <xf numFmtId="164" fontId="6" fillId="0" borderId="175" xfId="0" applyNumberFormat="1" applyFont="1" applyBorder="1" applyAlignment="1">
      <alignment vertical="center" wrapText="1"/>
    </xf>
    <xf numFmtId="0" fontId="6" fillId="0" borderId="0" xfId="0" applyFont="1" applyAlignment="1">
      <alignment horizontal="left"/>
    </xf>
    <xf numFmtId="0" fontId="2" fillId="0" borderId="0" xfId="0" applyFont="1" applyAlignment="1" applyProtection="1">
      <alignment horizontal="center"/>
    </xf>
    <xf numFmtId="0" fontId="2" fillId="0" borderId="0" xfId="0" applyFont="1" applyProtection="1"/>
    <xf numFmtId="0" fontId="2" fillId="0" borderId="0" xfId="0" applyFont="1" applyAlignment="1" applyProtection="1">
      <alignment horizontal="left" indent="1"/>
    </xf>
    <xf numFmtId="0" fontId="7" fillId="0" borderId="0" xfId="0" applyFont="1" applyBorder="1" applyAlignment="1" applyProtection="1">
      <alignment vertical="center"/>
    </xf>
    <xf numFmtId="0" fontId="7" fillId="0" borderId="0" xfId="0" applyFont="1" applyAlignment="1" applyProtection="1">
      <alignment horizontal="center" vertical="center"/>
    </xf>
    <xf numFmtId="0" fontId="2" fillId="0" borderId="0" xfId="0" applyFont="1" applyBorder="1" applyAlignment="1" applyProtection="1">
      <alignment horizontal="center" vertical="center"/>
    </xf>
    <xf numFmtId="0" fontId="2" fillId="0" borderId="0" xfId="0" applyFont="1" applyBorder="1" applyAlignment="1" applyProtection="1">
      <alignment vertical="center"/>
    </xf>
    <xf numFmtId="0" fontId="2" fillId="0" borderId="1" xfId="0" applyFont="1" applyBorder="1" applyAlignment="1" applyProtection="1">
      <alignment vertical="center"/>
    </xf>
    <xf numFmtId="0" fontId="7" fillId="0" borderId="2" xfId="0" applyFont="1" applyBorder="1" applyAlignment="1" applyProtection="1">
      <alignment horizontal="center" vertical="center"/>
    </xf>
    <xf numFmtId="0" fontId="7" fillId="0" borderId="3" xfId="0" applyFont="1" applyBorder="1" applyAlignment="1" applyProtection="1">
      <alignment horizontal="center" vertical="center"/>
    </xf>
    <xf numFmtId="0" fontId="7" fillId="0" borderId="4" xfId="0" applyFont="1" applyBorder="1" applyAlignment="1" applyProtection="1">
      <alignment horizontal="center" vertical="center"/>
    </xf>
    <xf numFmtId="0" fontId="7" fillId="0" borderId="5" xfId="0" applyFont="1" applyBorder="1" applyAlignment="1" applyProtection="1">
      <alignment horizontal="center" vertical="center"/>
    </xf>
    <xf numFmtId="0" fontId="7" fillId="0" borderId="6" xfId="0" applyFont="1" applyBorder="1" applyAlignment="1" applyProtection="1">
      <alignment horizontal="center" vertical="center"/>
    </xf>
    <xf numFmtId="0" fontId="7" fillId="0" borderId="0" xfId="0" applyFont="1" applyProtection="1"/>
    <xf numFmtId="164" fontId="2" fillId="0" borderId="7" xfId="0" applyNumberFormat="1" applyFont="1" applyFill="1" applyBorder="1" applyAlignment="1" applyProtection="1">
      <alignment horizontal="center" vertical="center"/>
      <protection locked="0"/>
    </xf>
    <xf numFmtId="164" fontId="2" fillId="0" borderId="8" xfId="0" applyNumberFormat="1" applyFont="1" applyFill="1" applyBorder="1" applyAlignment="1" applyProtection="1">
      <alignment horizontal="center" vertical="center"/>
      <protection locked="0"/>
    </xf>
    <xf numFmtId="164" fontId="7" fillId="5" borderId="9" xfId="0" applyNumberFormat="1" applyFont="1" applyFill="1" applyBorder="1" applyAlignment="1" applyProtection="1">
      <alignment horizontal="center" vertical="center"/>
    </xf>
    <xf numFmtId="164" fontId="2" fillId="0" borderId="10" xfId="0" applyNumberFormat="1" applyFont="1" applyFill="1" applyBorder="1" applyAlignment="1" applyProtection="1">
      <alignment horizontal="center" vertical="center"/>
      <protection locked="0"/>
    </xf>
    <xf numFmtId="164" fontId="7" fillId="5" borderId="11" xfId="0" applyNumberFormat="1" applyFont="1" applyFill="1" applyBorder="1" applyAlignment="1" applyProtection="1">
      <alignment horizontal="center" vertical="center"/>
    </xf>
    <xf numFmtId="164" fontId="2" fillId="5" borderId="9" xfId="0" applyNumberFormat="1" applyFont="1" applyFill="1" applyBorder="1" applyAlignment="1" applyProtection="1">
      <alignment horizontal="center" vertical="center"/>
    </xf>
    <xf numFmtId="164" fontId="2" fillId="0" borderId="12" xfId="0" applyNumberFormat="1" applyFont="1" applyFill="1" applyBorder="1" applyAlignment="1" applyProtection="1">
      <alignment horizontal="center" vertical="center"/>
      <protection locked="0"/>
    </xf>
    <xf numFmtId="164" fontId="2" fillId="0" borderId="13" xfId="0" applyNumberFormat="1" applyFont="1" applyFill="1" applyBorder="1" applyAlignment="1" applyProtection="1">
      <alignment horizontal="center" vertical="center"/>
      <protection locked="0"/>
    </xf>
    <xf numFmtId="164" fontId="7" fillId="5" borderId="14" xfId="0" applyNumberFormat="1" applyFont="1" applyFill="1" applyBorder="1" applyAlignment="1" applyProtection="1">
      <alignment horizontal="center" vertical="center"/>
    </xf>
    <xf numFmtId="164" fontId="2" fillId="0" borderId="15" xfId="0" applyNumberFormat="1" applyFont="1" applyFill="1" applyBorder="1" applyAlignment="1" applyProtection="1">
      <alignment horizontal="center" vertical="center"/>
      <protection locked="0"/>
    </xf>
    <xf numFmtId="164" fontId="7" fillId="5" borderId="16" xfId="0" applyNumberFormat="1" applyFont="1" applyFill="1" applyBorder="1" applyAlignment="1" applyProtection="1">
      <alignment horizontal="center" vertical="center"/>
    </xf>
    <xf numFmtId="164" fontId="2" fillId="5" borderId="14" xfId="0" applyNumberFormat="1" applyFont="1" applyFill="1" applyBorder="1" applyAlignment="1" applyProtection="1">
      <alignment horizontal="center" vertical="center"/>
    </xf>
    <xf numFmtId="164" fontId="7" fillId="5" borderId="17" xfId="0" applyNumberFormat="1" applyFont="1" applyFill="1" applyBorder="1" applyAlignment="1" applyProtection="1">
      <alignment horizontal="center" vertical="center"/>
    </xf>
    <xf numFmtId="164" fontId="7" fillId="5" borderId="18" xfId="0" applyNumberFormat="1" applyFont="1" applyFill="1" applyBorder="1" applyAlignment="1" applyProtection="1">
      <alignment horizontal="center" vertical="center"/>
    </xf>
    <xf numFmtId="164" fontId="7" fillId="5" borderId="19" xfId="0" applyNumberFormat="1" applyFont="1" applyFill="1" applyBorder="1" applyAlignment="1" applyProtection="1">
      <alignment horizontal="center" vertical="center"/>
    </xf>
    <xf numFmtId="164" fontId="7" fillId="5" borderId="20" xfId="0" applyNumberFormat="1" applyFont="1" applyFill="1" applyBorder="1" applyAlignment="1" applyProtection="1">
      <alignment horizontal="center" vertical="center"/>
    </xf>
    <xf numFmtId="164" fontId="7" fillId="5" borderId="21" xfId="0" applyNumberFormat="1" applyFont="1" applyFill="1" applyBorder="1" applyAlignment="1" applyProtection="1">
      <alignment horizontal="center" vertical="center"/>
    </xf>
    <xf numFmtId="0" fontId="2" fillId="0" borderId="0" xfId="0" applyFont="1" applyBorder="1" applyAlignment="1" applyProtection="1">
      <alignment horizontal="left" vertical="center"/>
    </xf>
    <xf numFmtId="0" fontId="7" fillId="0" borderId="0" xfId="0" applyFont="1" applyFill="1" applyBorder="1" applyAlignment="1" applyProtection="1">
      <alignment horizontal="center" vertical="center"/>
    </xf>
    <xf numFmtId="0" fontId="2" fillId="0" borderId="0" xfId="0" applyFont="1" applyAlignment="1" applyProtection="1">
      <alignment vertical="center"/>
    </xf>
    <xf numFmtId="0" fontId="2" fillId="0" borderId="0" xfId="0" applyFont="1" applyAlignment="1" applyProtection="1">
      <alignment horizontal="center" vertical="center"/>
    </xf>
    <xf numFmtId="164" fontId="7" fillId="5" borderId="28" xfId="0" applyNumberFormat="1" applyFont="1" applyFill="1" applyBorder="1" applyAlignment="1" applyProtection="1">
      <alignment horizontal="center" vertical="center"/>
    </xf>
    <xf numFmtId="164" fontId="8" fillId="6" borderId="29" xfId="0" applyNumberFormat="1" applyFont="1" applyFill="1" applyBorder="1" applyAlignment="1" applyProtection="1">
      <alignment horizontal="center" vertical="center"/>
    </xf>
    <xf numFmtId="164" fontId="8" fillId="6" borderId="6" xfId="0" applyNumberFormat="1" applyFont="1" applyFill="1" applyBorder="1" applyAlignment="1" applyProtection="1">
      <alignment horizontal="center" vertical="center"/>
    </xf>
    <xf numFmtId="164" fontId="8" fillId="6" borderId="4" xfId="0" applyNumberFormat="1" applyFont="1" applyFill="1" applyBorder="1" applyAlignment="1" applyProtection="1">
      <alignment horizontal="center" vertical="center"/>
    </xf>
    <xf numFmtId="164" fontId="8" fillId="6" borderId="30" xfId="0" applyNumberFormat="1" applyFont="1" applyFill="1" applyBorder="1" applyAlignment="1" applyProtection="1">
      <alignment horizontal="center" vertical="center"/>
    </xf>
    <xf numFmtId="164" fontId="8" fillId="6" borderId="25" xfId="0" applyNumberFormat="1" applyFont="1" applyFill="1" applyBorder="1" applyAlignment="1" applyProtection="1">
      <alignment horizontal="center" vertical="center"/>
    </xf>
    <xf numFmtId="2" fontId="7" fillId="7" borderId="22" xfId="7" applyNumberFormat="1" applyFont="1" applyFill="1" applyBorder="1" applyAlignment="1" applyProtection="1">
      <alignment horizontal="center" vertical="center"/>
    </xf>
    <xf numFmtId="2" fontId="7" fillId="7" borderId="23" xfId="7" applyNumberFormat="1" applyFont="1" applyFill="1" applyBorder="1" applyAlignment="1" applyProtection="1">
      <alignment horizontal="center" vertical="center"/>
    </xf>
    <xf numFmtId="2" fontId="7" fillId="7" borderId="24" xfId="7" applyNumberFormat="1" applyFont="1" applyFill="1" applyBorder="1" applyAlignment="1" applyProtection="1">
      <alignment horizontal="center" vertical="center"/>
    </xf>
    <xf numFmtId="2" fontId="7" fillId="7" borderId="27" xfId="7" applyNumberFormat="1" applyFont="1" applyFill="1" applyBorder="1" applyAlignment="1" applyProtection="1">
      <alignment horizontal="center" vertical="center"/>
    </xf>
    <xf numFmtId="0" fontId="2" fillId="0" borderId="0" xfId="0" applyFont="1" applyFill="1" applyAlignment="1" applyProtection="1">
      <alignment vertical="center"/>
    </xf>
    <xf numFmtId="0" fontId="2" fillId="0" borderId="0" xfId="0" applyFont="1" applyFill="1" applyProtection="1"/>
    <xf numFmtId="0" fontId="2" fillId="0" borderId="0" xfId="0" applyFont="1" applyFill="1" applyAlignment="1" applyProtection="1">
      <alignment horizontal="center" vertical="center"/>
    </xf>
    <xf numFmtId="164" fontId="2" fillId="5" borderId="7" xfId="0" applyNumberFormat="1" applyFont="1" applyFill="1" applyBorder="1" applyAlignment="1" applyProtection="1">
      <alignment horizontal="center" vertical="center"/>
    </xf>
    <xf numFmtId="0" fontId="2" fillId="8" borderId="8" xfId="0" applyFont="1" applyFill="1" applyBorder="1" applyAlignment="1" applyProtection="1">
      <alignment horizontal="center" vertical="center" wrapText="1"/>
      <protection locked="0"/>
    </xf>
    <xf numFmtId="14" fontId="2" fillId="8" borderId="8" xfId="0" applyNumberFormat="1" applyFont="1" applyFill="1" applyBorder="1" applyAlignment="1" applyProtection="1">
      <alignment horizontal="center" vertical="center" wrapText="1"/>
      <protection locked="0"/>
    </xf>
    <xf numFmtId="14" fontId="2" fillId="8" borderId="9" xfId="0" applyNumberFormat="1" applyFont="1" applyFill="1" applyBorder="1" applyAlignment="1" applyProtection="1">
      <alignment horizontal="center" vertical="center" wrapText="1"/>
      <protection locked="0"/>
    </xf>
    <xf numFmtId="165" fontId="14" fillId="8" borderId="32" xfId="0" applyNumberFormat="1" applyFont="1" applyFill="1" applyBorder="1" applyAlignment="1" applyProtection="1">
      <alignment horizontal="center" vertical="center" wrapText="1"/>
      <protection locked="0"/>
    </xf>
    <xf numFmtId="14" fontId="9" fillId="8" borderId="33" xfId="0" applyNumberFormat="1" applyFont="1" applyFill="1" applyBorder="1" applyAlignment="1" applyProtection="1">
      <alignment horizontal="center" vertical="center" wrapText="1"/>
      <protection locked="0"/>
    </xf>
    <xf numFmtId="14" fontId="2" fillId="8" borderId="32" xfId="0" applyNumberFormat="1" applyFont="1" applyFill="1" applyBorder="1" applyAlignment="1" applyProtection="1">
      <alignment horizontal="center" vertical="center" wrapText="1"/>
      <protection locked="0"/>
    </xf>
    <xf numFmtId="14" fontId="2" fillId="8" borderId="33" xfId="0" applyNumberFormat="1" applyFont="1" applyFill="1" applyBorder="1" applyAlignment="1" applyProtection="1">
      <alignment horizontal="center" vertical="center" wrapText="1"/>
      <protection locked="0"/>
    </xf>
    <xf numFmtId="164" fontId="2" fillId="5" borderId="22" xfId="0" applyNumberFormat="1" applyFont="1" applyFill="1" applyBorder="1" applyAlignment="1" applyProtection="1">
      <alignment horizontal="center" vertical="center"/>
    </xf>
    <xf numFmtId="14" fontId="2" fillId="8" borderId="34" xfId="0" applyNumberFormat="1" applyFont="1" applyFill="1" applyBorder="1" applyAlignment="1" applyProtection="1">
      <alignment horizontal="center" vertical="center" wrapText="1"/>
      <protection locked="0"/>
    </xf>
    <xf numFmtId="0" fontId="2" fillId="8" borderId="34" xfId="0" applyFont="1" applyFill="1" applyBorder="1" applyAlignment="1" applyProtection="1">
      <alignment horizontal="center" vertical="center" wrapText="1"/>
      <protection locked="0"/>
    </xf>
    <xf numFmtId="14" fontId="2" fillId="8" borderId="24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0" xfId="0" applyFont="1" applyFill="1" applyBorder="1" applyAlignment="1" applyProtection="1">
      <alignment horizontal="center" vertical="center" wrapText="1"/>
    </xf>
    <xf numFmtId="0" fontId="2" fillId="0" borderId="0" xfId="0" applyFont="1" applyFill="1" applyBorder="1" applyAlignment="1" applyProtection="1">
      <alignment vertical="center" wrapText="1"/>
    </xf>
    <xf numFmtId="14" fontId="2" fillId="0" borderId="0" xfId="0" applyNumberFormat="1" applyFont="1" applyFill="1" applyBorder="1" applyAlignment="1" applyProtection="1">
      <alignment horizontal="center" vertical="center" wrapText="1"/>
    </xf>
    <xf numFmtId="0" fontId="2" fillId="0" borderId="0" xfId="0" applyFont="1" applyFill="1" applyBorder="1" applyAlignment="1" applyProtection="1">
      <alignment horizontal="left" vertical="center" wrapText="1" indent="1"/>
    </xf>
    <xf numFmtId="0" fontId="2" fillId="0" borderId="0" xfId="0" applyFont="1" applyFill="1" applyBorder="1" applyAlignment="1" applyProtection="1">
      <alignment vertical="center"/>
    </xf>
    <xf numFmtId="165" fontId="2" fillId="5" borderId="9" xfId="0" applyNumberFormat="1" applyFont="1" applyFill="1" applyBorder="1" applyAlignment="1" applyProtection="1">
      <alignment horizontal="center" vertical="center"/>
      <protection locked="0"/>
    </xf>
    <xf numFmtId="14" fontId="2" fillId="5" borderId="8" xfId="0" applyNumberFormat="1" applyFont="1" applyFill="1" applyBorder="1" applyAlignment="1" applyProtection="1">
      <alignment horizontal="center" vertical="center" wrapText="1"/>
      <protection locked="0"/>
    </xf>
    <xf numFmtId="14" fontId="2" fillId="5" borderId="9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0" xfId="0" applyFont="1" applyProtection="1">
      <protection locked="0"/>
    </xf>
    <xf numFmtId="164" fontId="8" fillId="0" borderId="0" xfId="6" applyNumberFormat="1" applyFont="1" applyBorder="1" applyAlignment="1" applyProtection="1">
      <alignment vertical="center"/>
    </xf>
    <xf numFmtId="0" fontId="2" fillId="0" borderId="0" xfId="0" applyFont="1" applyBorder="1" applyProtection="1"/>
    <xf numFmtId="164" fontId="8" fillId="0" borderId="0" xfId="6" applyNumberFormat="1" applyFont="1" applyBorder="1" applyAlignment="1" applyProtection="1">
      <alignment horizontal="center" vertical="center"/>
    </xf>
    <xf numFmtId="0" fontId="3" fillId="0" borderId="0" xfId="0" applyFont="1" applyAlignment="1" applyProtection="1">
      <alignment vertical="center"/>
    </xf>
    <xf numFmtId="0" fontId="3" fillId="0" borderId="0" xfId="0" applyFont="1" applyAlignment="1" applyProtection="1">
      <alignment horizontal="center" vertical="center"/>
    </xf>
    <xf numFmtId="0" fontId="9" fillId="3" borderId="35" xfId="0" applyFont="1" applyFill="1" applyBorder="1" applyAlignment="1" applyProtection="1">
      <alignment horizontal="center" vertical="center"/>
    </xf>
    <xf numFmtId="0" fontId="9" fillId="3" borderId="35" xfId="0" applyFont="1" applyFill="1" applyBorder="1" applyAlignment="1" applyProtection="1">
      <alignment horizontal="center" vertical="center" wrapText="1"/>
    </xf>
    <xf numFmtId="164" fontId="3" fillId="0" borderId="36" xfId="0" applyNumberFormat="1" applyFont="1" applyBorder="1" applyAlignment="1" applyProtection="1">
      <alignment horizontal="center" vertical="center"/>
      <protection locked="0"/>
    </xf>
    <xf numFmtId="164" fontId="3" fillId="0" borderId="37" xfId="0" applyNumberFormat="1" applyFont="1" applyBorder="1" applyAlignment="1" applyProtection="1">
      <alignment horizontal="center" vertical="center"/>
      <protection locked="0"/>
    </xf>
    <xf numFmtId="164" fontId="3" fillId="0" borderId="38" xfId="0" applyNumberFormat="1" applyFont="1" applyBorder="1" applyAlignment="1" applyProtection="1">
      <alignment horizontal="center" vertical="center"/>
      <protection locked="0"/>
    </xf>
    <xf numFmtId="164" fontId="3" fillId="0" borderId="39" xfId="0" applyNumberFormat="1" applyFont="1" applyBorder="1" applyAlignment="1" applyProtection="1">
      <alignment horizontal="center" vertical="center"/>
      <protection locked="0"/>
    </xf>
    <xf numFmtId="0" fontId="3" fillId="0" borderId="0" xfId="0" applyFont="1" applyAlignment="1" applyProtection="1">
      <alignment vertical="center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10" fillId="0" borderId="0" xfId="0" applyFont="1" applyBorder="1" applyAlignment="1" applyProtection="1">
      <alignment vertical="center"/>
      <protection locked="0"/>
    </xf>
    <xf numFmtId="0" fontId="3" fillId="0" borderId="35" xfId="0" applyFont="1" applyBorder="1" applyAlignment="1" applyProtection="1">
      <alignment horizontal="center" vertical="center"/>
    </xf>
    <xf numFmtId="0" fontId="9" fillId="0" borderId="41" xfId="0" applyFont="1" applyFill="1" applyBorder="1" applyAlignment="1" applyProtection="1">
      <alignment horizontal="center" vertical="center"/>
    </xf>
    <xf numFmtId="164" fontId="3" fillId="3" borderId="41" xfId="0" applyNumberFormat="1" applyFont="1" applyFill="1" applyBorder="1" applyAlignment="1" applyProtection="1">
      <alignment horizontal="center" vertical="center"/>
      <protection locked="0"/>
    </xf>
    <xf numFmtId="164" fontId="3" fillId="0" borderId="41" xfId="0" applyNumberFormat="1" applyFont="1" applyBorder="1" applyAlignment="1" applyProtection="1">
      <alignment horizontal="center" vertical="center"/>
      <protection locked="0"/>
    </xf>
    <xf numFmtId="164" fontId="3" fillId="0" borderId="42" xfId="0" applyNumberFormat="1" applyFont="1" applyBorder="1" applyAlignment="1" applyProtection="1">
      <alignment horizontal="center" vertical="center"/>
      <protection locked="0"/>
    </xf>
    <xf numFmtId="0" fontId="9" fillId="0" borderId="35" xfId="0" applyFont="1" applyFill="1" applyBorder="1" applyAlignment="1" applyProtection="1">
      <alignment horizontal="center" vertical="center"/>
    </xf>
    <xf numFmtId="164" fontId="3" fillId="3" borderId="35" xfId="0" applyNumberFormat="1" applyFont="1" applyFill="1" applyBorder="1" applyAlignment="1" applyProtection="1">
      <alignment horizontal="center" vertical="center"/>
      <protection locked="0"/>
    </xf>
    <xf numFmtId="164" fontId="3" fillId="0" borderId="35" xfId="0" applyNumberFormat="1" applyFont="1" applyBorder="1" applyAlignment="1" applyProtection="1">
      <alignment horizontal="center" vertical="center"/>
      <protection locked="0"/>
    </xf>
    <xf numFmtId="164" fontId="3" fillId="0" borderId="40" xfId="0" applyNumberFormat="1" applyFont="1" applyBorder="1" applyAlignment="1" applyProtection="1">
      <alignment horizontal="center" vertical="center"/>
      <protection locked="0"/>
    </xf>
    <xf numFmtId="164" fontId="3" fillId="0" borderId="0" xfId="0" applyNumberFormat="1" applyFont="1" applyFill="1" applyBorder="1" applyAlignment="1" applyProtection="1">
      <alignment horizontal="center" vertical="center"/>
    </xf>
    <xf numFmtId="0" fontId="9" fillId="0" borderId="36" xfId="0" applyFont="1" applyFill="1" applyBorder="1" applyAlignment="1" applyProtection="1">
      <alignment horizontal="center" vertical="center"/>
    </xf>
    <xf numFmtId="164" fontId="3" fillId="3" borderId="36" xfId="0" applyNumberFormat="1" applyFont="1" applyFill="1" applyBorder="1" applyAlignment="1" applyProtection="1">
      <alignment horizontal="center" vertical="center"/>
      <protection locked="0"/>
    </xf>
    <xf numFmtId="0" fontId="9" fillId="0" borderId="38" xfId="0" applyFont="1" applyFill="1" applyBorder="1" applyAlignment="1" applyProtection="1">
      <alignment horizontal="center" vertical="center"/>
    </xf>
    <xf numFmtId="164" fontId="3" fillId="3" borderId="38" xfId="0" applyNumberFormat="1" applyFont="1" applyFill="1" applyBorder="1" applyAlignment="1" applyProtection="1">
      <alignment horizontal="center" vertical="center"/>
      <protection locked="0"/>
    </xf>
    <xf numFmtId="0" fontId="3" fillId="0" borderId="35" xfId="0" applyFont="1" applyBorder="1" applyAlignment="1" applyProtection="1">
      <alignment horizontal="center" vertical="center" wrapText="1"/>
    </xf>
    <xf numFmtId="164" fontId="3" fillId="0" borderId="43" xfId="0" applyNumberFormat="1" applyFont="1" applyBorder="1" applyAlignment="1" applyProtection="1">
      <alignment horizontal="center" vertical="center"/>
      <protection locked="0"/>
    </xf>
    <xf numFmtId="0" fontId="2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164" fontId="8" fillId="9" borderId="44" xfId="0" applyNumberFormat="1" applyFont="1" applyFill="1" applyBorder="1" applyAlignment="1" applyProtection="1">
      <alignment horizontal="center" vertical="center"/>
    </xf>
    <xf numFmtId="164" fontId="8" fillId="9" borderId="45" xfId="0" applyNumberFormat="1" applyFont="1" applyFill="1" applyBorder="1" applyAlignment="1" applyProtection="1">
      <alignment horizontal="center" vertical="center"/>
    </xf>
    <xf numFmtId="164" fontId="8" fillId="9" borderId="46" xfId="0" applyNumberFormat="1" applyFont="1" applyFill="1" applyBorder="1" applyAlignment="1" applyProtection="1">
      <alignment horizontal="center" vertical="center"/>
    </xf>
    <xf numFmtId="164" fontId="10" fillId="9" borderId="47" xfId="0" applyNumberFormat="1" applyFont="1" applyFill="1" applyBorder="1" applyAlignment="1" applyProtection="1">
      <alignment horizontal="center" vertical="center"/>
    </xf>
    <xf numFmtId="164" fontId="10" fillId="9" borderId="48" xfId="0" applyNumberFormat="1" applyFont="1" applyFill="1" applyBorder="1" applyAlignment="1" applyProtection="1">
      <alignment horizontal="center" vertical="center"/>
    </xf>
    <xf numFmtId="0" fontId="3" fillId="0" borderId="0" xfId="0" applyFont="1" applyFill="1" applyAlignment="1" applyProtection="1">
      <alignment vertical="center"/>
    </xf>
    <xf numFmtId="0" fontId="3" fillId="0" borderId="0" xfId="0" applyFont="1" applyFill="1" applyAlignment="1" applyProtection="1">
      <alignment horizontal="center" vertical="center"/>
    </xf>
    <xf numFmtId="0" fontId="8" fillId="0" borderId="0" xfId="0" applyFont="1" applyFill="1" applyBorder="1" applyAlignment="1" applyProtection="1">
      <alignment horizontal="right" vertical="center" indent="3"/>
    </xf>
    <xf numFmtId="164" fontId="7" fillId="8" borderId="18" xfId="0" applyNumberFormat="1" applyFont="1" applyFill="1" applyBorder="1" applyAlignment="1" applyProtection="1">
      <alignment horizontal="center" vertical="center"/>
    </xf>
    <xf numFmtId="0" fontId="2" fillId="0" borderId="0" xfId="0" applyFont="1" applyFill="1" applyBorder="1" applyAlignment="1" applyProtection="1">
      <alignment horizontal="left" vertical="center" indent="1"/>
    </xf>
    <xf numFmtId="0" fontId="2" fillId="5" borderId="34" xfId="0" applyFont="1" applyFill="1" applyBorder="1" applyAlignment="1" applyProtection="1">
      <alignment horizontal="center" vertical="center" wrapText="1"/>
      <protection locked="0"/>
    </xf>
    <xf numFmtId="0" fontId="9" fillId="3" borderId="51" xfId="0" applyFont="1" applyFill="1" applyBorder="1" applyAlignment="1" applyProtection="1">
      <alignment horizontal="center" vertical="center" wrapText="1"/>
    </xf>
    <xf numFmtId="0" fontId="2" fillId="10" borderId="52" xfId="0" applyFont="1" applyFill="1" applyBorder="1" applyAlignment="1" applyProtection="1">
      <alignment horizontal="center"/>
    </xf>
    <xf numFmtId="0" fontId="7" fillId="2" borderId="53" xfId="0" applyFont="1" applyFill="1" applyBorder="1" applyAlignment="1" applyProtection="1">
      <alignment horizontal="center" vertical="center" wrapText="1"/>
    </xf>
    <xf numFmtId="164" fontId="2" fillId="5" borderId="31" xfId="0" applyNumberFormat="1" applyFont="1" applyFill="1" applyBorder="1" applyAlignment="1" applyProtection="1">
      <alignment horizontal="center" vertical="center"/>
    </xf>
    <xf numFmtId="164" fontId="2" fillId="0" borderId="0" xfId="0" applyNumberFormat="1" applyFont="1" applyFill="1" applyBorder="1" applyAlignment="1" applyProtection="1">
      <alignment horizontal="center" vertical="center"/>
    </xf>
    <xf numFmtId="0" fontId="9" fillId="0" borderId="0" xfId="0" applyFont="1" applyFill="1" applyBorder="1" applyAlignment="1" applyProtection="1">
      <alignment horizontal="center" vertical="center"/>
    </xf>
    <xf numFmtId="0" fontId="9" fillId="0" borderId="0" xfId="0" applyFont="1" applyFill="1" applyBorder="1" applyAlignment="1" applyProtection="1">
      <alignment vertical="center" wrapText="1"/>
    </xf>
    <xf numFmtId="0" fontId="9" fillId="0" borderId="0" xfId="3" applyFont="1" applyFill="1" applyBorder="1" applyAlignment="1" applyProtection="1">
      <alignment vertical="center"/>
    </xf>
    <xf numFmtId="0" fontId="0" fillId="0" borderId="0" xfId="0" applyAlignment="1">
      <alignment vertical="center" wrapText="1"/>
    </xf>
    <xf numFmtId="0" fontId="2" fillId="0" borderId="0" xfId="0" applyNumberFormat="1" applyFont="1" applyFill="1" applyBorder="1" applyAlignment="1" applyProtection="1">
      <alignment vertical="center"/>
    </xf>
    <xf numFmtId="0" fontId="7" fillId="0" borderId="0" xfId="0" applyFont="1" applyAlignment="1" applyProtection="1">
      <alignment vertical="center"/>
    </xf>
    <xf numFmtId="164" fontId="9" fillId="4" borderId="55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56" xfId="0" applyFont="1" applyBorder="1" applyAlignment="1" applyProtection="1">
      <alignment horizontal="center" vertical="center"/>
    </xf>
    <xf numFmtId="0" fontId="2" fillId="0" borderId="57" xfId="0" applyFont="1" applyBorder="1" applyAlignment="1" applyProtection="1">
      <alignment horizontal="center" vertical="center"/>
    </xf>
    <xf numFmtId="164" fontId="2" fillId="0" borderId="58" xfId="0" applyNumberFormat="1" applyFont="1" applyBorder="1" applyAlignment="1" applyProtection="1">
      <alignment horizontal="center" vertical="center"/>
    </xf>
    <xf numFmtId="0" fontId="2" fillId="0" borderId="59" xfId="0" applyFont="1" applyBorder="1" applyAlignment="1" applyProtection="1">
      <alignment horizontal="center" vertical="center"/>
    </xf>
    <xf numFmtId="164" fontId="7" fillId="10" borderId="58" xfId="0" applyNumberFormat="1" applyFont="1" applyFill="1" applyBorder="1" applyAlignment="1" applyProtection="1">
      <alignment horizontal="center" vertical="center"/>
    </xf>
    <xf numFmtId="164" fontId="7" fillId="10" borderId="60" xfId="0" applyNumberFormat="1" applyFont="1" applyFill="1" applyBorder="1" applyAlignment="1" applyProtection="1">
      <alignment horizontal="center" vertical="center"/>
    </xf>
    <xf numFmtId="164" fontId="8" fillId="10" borderId="61" xfId="0" applyNumberFormat="1" applyFont="1" applyFill="1" applyBorder="1" applyAlignment="1" applyProtection="1">
      <alignment horizontal="center" vertical="center" wrapText="1"/>
    </xf>
    <xf numFmtId="0" fontId="2" fillId="0" borderId="62" xfId="0" applyFont="1" applyBorder="1" applyAlignment="1" applyProtection="1">
      <alignment horizontal="center" vertical="center"/>
    </xf>
    <xf numFmtId="164" fontId="9" fillId="4" borderId="63" xfId="0" applyNumberFormat="1" applyFont="1" applyFill="1" applyBorder="1" applyAlignment="1" applyProtection="1">
      <alignment horizontal="center" vertical="center" wrapText="1"/>
      <protection locked="0"/>
    </xf>
    <xf numFmtId="164" fontId="9" fillId="4" borderId="64" xfId="0" applyNumberFormat="1" applyFont="1" applyFill="1" applyBorder="1" applyAlignment="1" applyProtection="1">
      <alignment horizontal="center" vertical="center" wrapText="1"/>
      <protection locked="0"/>
    </xf>
    <xf numFmtId="164" fontId="7" fillId="10" borderId="70" xfId="0" applyNumberFormat="1" applyFont="1" applyFill="1" applyBorder="1" applyAlignment="1" applyProtection="1">
      <alignment horizontal="center" vertical="center"/>
    </xf>
    <xf numFmtId="164" fontId="7" fillId="0" borderId="0" xfId="0" applyNumberFormat="1" applyFont="1" applyBorder="1" applyProtection="1"/>
    <xf numFmtId="164" fontId="2" fillId="0" borderId="0" xfId="0" applyNumberFormat="1" applyFont="1" applyBorder="1" applyAlignment="1" applyProtection="1">
      <alignment vertical="center"/>
    </xf>
    <xf numFmtId="164" fontId="7" fillId="10" borderId="73" xfId="0" applyNumberFormat="1" applyFont="1" applyFill="1" applyBorder="1" applyAlignment="1" applyProtection="1">
      <alignment horizontal="center" vertical="center"/>
    </xf>
    <xf numFmtId="164" fontId="7" fillId="10" borderId="74" xfId="0" applyNumberFormat="1" applyFont="1" applyFill="1" applyBorder="1" applyAlignment="1" applyProtection="1">
      <alignment horizontal="center" vertical="center"/>
    </xf>
    <xf numFmtId="164" fontId="7" fillId="10" borderId="75" xfId="0" applyNumberFormat="1" applyFont="1" applyFill="1" applyBorder="1" applyAlignment="1" applyProtection="1">
      <alignment horizontal="center" vertical="center"/>
    </xf>
    <xf numFmtId="1" fontId="2" fillId="8" borderId="8" xfId="0" applyNumberFormat="1" applyFont="1" applyFill="1" applyBorder="1" applyAlignment="1" applyProtection="1">
      <alignment horizontal="center" vertical="center" wrapText="1"/>
      <protection locked="0"/>
    </xf>
    <xf numFmtId="1" fontId="2" fillId="8" borderId="34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0" xfId="0" applyAlignment="1" applyProtection="1">
      <alignment vertical="center" wrapText="1"/>
    </xf>
    <xf numFmtId="0" fontId="0" fillId="0" borderId="0" xfId="0" applyBorder="1" applyAlignment="1" applyProtection="1">
      <alignment vertical="center" wrapText="1"/>
    </xf>
    <xf numFmtId="0" fontId="9" fillId="3" borderId="77" xfId="0" applyFont="1" applyFill="1" applyBorder="1" applyAlignment="1" applyProtection="1">
      <alignment horizontal="center" vertical="center" wrapText="1"/>
    </xf>
    <xf numFmtId="0" fontId="9" fillId="3" borderId="78" xfId="0" applyFont="1" applyFill="1" applyBorder="1" applyAlignment="1" applyProtection="1">
      <alignment horizontal="center" vertical="center" wrapText="1"/>
    </xf>
    <xf numFmtId="164" fontId="10" fillId="9" borderId="79" xfId="0" applyNumberFormat="1" applyFont="1" applyFill="1" applyBorder="1" applyAlignment="1" applyProtection="1">
      <alignment horizontal="center" vertical="center"/>
    </xf>
    <xf numFmtId="164" fontId="3" fillId="0" borderId="81" xfId="0" applyNumberFormat="1" applyFont="1" applyBorder="1" applyAlignment="1" applyProtection="1">
      <alignment horizontal="center" vertical="center"/>
      <protection locked="0"/>
    </xf>
    <xf numFmtId="164" fontId="3" fillId="0" borderId="84" xfId="0" applyNumberFormat="1" applyFont="1" applyBorder="1" applyAlignment="1" applyProtection="1">
      <alignment horizontal="center" vertical="center"/>
      <protection locked="0"/>
    </xf>
    <xf numFmtId="164" fontId="3" fillId="0" borderId="85" xfId="0" applyNumberFormat="1" applyFont="1" applyBorder="1" applyAlignment="1" applyProtection="1">
      <alignment horizontal="center" vertical="center"/>
      <protection locked="0"/>
    </xf>
    <xf numFmtId="0" fontId="8" fillId="9" borderId="86" xfId="0" applyFont="1" applyFill="1" applyBorder="1" applyAlignment="1" applyProtection="1">
      <alignment horizontal="center" vertical="center"/>
    </xf>
    <xf numFmtId="0" fontId="9" fillId="3" borderId="87" xfId="0" applyFont="1" applyFill="1" applyBorder="1" applyAlignment="1" applyProtection="1">
      <alignment horizontal="center" vertical="center" wrapText="1"/>
    </xf>
    <xf numFmtId="164" fontId="8" fillId="9" borderId="88" xfId="0" applyNumberFormat="1" applyFont="1" applyFill="1" applyBorder="1" applyAlignment="1" applyProtection="1">
      <alignment horizontal="center" vertical="center"/>
    </xf>
    <xf numFmtId="0" fontId="9" fillId="3" borderId="83" xfId="0" applyFont="1" applyFill="1" applyBorder="1" applyAlignment="1" applyProtection="1">
      <alignment horizontal="center" vertical="center"/>
    </xf>
    <xf numFmtId="0" fontId="9" fillId="3" borderId="89" xfId="0" applyFont="1" applyFill="1" applyBorder="1" applyAlignment="1" applyProtection="1">
      <alignment horizontal="center" vertical="center"/>
    </xf>
    <xf numFmtId="0" fontId="9" fillId="3" borderId="90" xfId="0" applyFont="1" applyFill="1" applyBorder="1" applyAlignment="1" applyProtection="1">
      <alignment horizontal="center" vertical="center"/>
    </xf>
    <xf numFmtId="164" fontId="10" fillId="9" borderId="92" xfId="0" applyNumberFormat="1" applyFont="1" applyFill="1" applyBorder="1" applyAlignment="1" applyProtection="1">
      <alignment horizontal="center" vertical="center"/>
    </xf>
    <xf numFmtId="164" fontId="10" fillId="9" borderId="93" xfId="0" applyNumberFormat="1" applyFont="1" applyFill="1" applyBorder="1" applyAlignment="1" applyProtection="1">
      <alignment horizontal="center" vertical="center"/>
    </xf>
    <xf numFmtId="164" fontId="10" fillId="9" borderId="94" xfId="0" applyNumberFormat="1" applyFont="1" applyFill="1" applyBorder="1" applyAlignment="1" applyProtection="1">
      <alignment horizontal="center" vertical="center"/>
    </xf>
    <xf numFmtId="164" fontId="10" fillId="9" borderId="95" xfId="0" applyNumberFormat="1" applyFont="1" applyFill="1" applyBorder="1" applyAlignment="1" applyProtection="1">
      <alignment horizontal="center" vertical="center"/>
    </xf>
    <xf numFmtId="164" fontId="10" fillId="9" borderId="96" xfId="0" applyNumberFormat="1" applyFont="1" applyFill="1" applyBorder="1" applyAlignment="1" applyProtection="1">
      <alignment horizontal="center" vertical="center"/>
    </xf>
    <xf numFmtId="3" fontId="9" fillId="0" borderId="0" xfId="0" applyNumberFormat="1" applyFont="1" applyBorder="1" applyAlignment="1" applyProtection="1">
      <alignment horizontal="center" vertical="center"/>
    </xf>
    <xf numFmtId="0" fontId="9" fillId="0" borderId="0" xfId="0" applyFont="1" applyBorder="1" applyAlignment="1" applyProtection="1">
      <alignment horizontal="center" vertical="center"/>
    </xf>
    <xf numFmtId="164" fontId="9" fillId="0" borderId="0" xfId="0" applyNumberFormat="1" applyFont="1" applyBorder="1" applyAlignment="1" applyProtection="1">
      <alignment horizontal="center" vertical="center"/>
    </xf>
    <xf numFmtId="2" fontId="9" fillId="0" borderId="0" xfId="0" applyNumberFormat="1" applyFont="1" applyBorder="1" applyAlignment="1" applyProtection="1">
      <alignment horizontal="center" vertical="center"/>
    </xf>
    <xf numFmtId="2" fontId="9" fillId="0" borderId="58" xfId="0" applyNumberFormat="1" applyFont="1" applyBorder="1" applyAlignment="1" applyProtection="1">
      <alignment horizontal="center" vertical="center"/>
    </xf>
    <xf numFmtId="0" fontId="2" fillId="0" borderId="58" xfId="0" applyFont="1" applyBorder="1" applyAlignment="1" applyProtection="1">
      <alignment horizontal="center" vertical="center"/>
    </xf>
    <xf numFmtId="0" fontId="2" fillId="0" borderId="101" xfId="0" applyFont="1" applyBorder="1" applyAlignment="1" applyProtection="1">
      <alignment horizontal="center" vertical="center"/>
    </xf>
    <xf numFmtId="0" fontId="8" fillId="0" borderId="0" xfId="0" applyFont="1" applyAlignment="1" applyProtection="1">
      <alignment horizontal="center" vertical="center"/>
    </xf>
    <xf numFmtId="1" fontId="9" fillId="0" borderId="65" xfId="0" applyNumberFormat="1" applyFont="1" applyBorder="1" applyAlignment="1" applyProtection="1">
      <alignment horizontal="center" vertical="center" wrapText="1"/>
      <protection locked="0"/>
    </xf>
    <xf numFmtId="0" fontId="9" fillId="0" borderId="65" xfId="0" applyFont="1" applyBorder="1" applyAlignment="1" applyProtection="1">
      <alignment horizontal="center" vertical="center"/>
      <protection locked="0"/>
    </xf>
    <xf numFmtId="0" fontId="9" fillId="0" borderId="73" xfId="0" applyFont="1" applyBorder="1" applyAlignment="1" applyProtection="1">
      <alignment horizontal="center" vertical="center"/>
      <protection locked="0"/>
    </xf>
    <xf numFmtId="164" fontId="9" fillId="0" borderId="102" xfId="0" applyNumberFormat="1" applyFont="1" applyBorder="1" applyAlignment="1" applyProtection="1">
      <alignment horizontal="center" vertical="center"/>
      <protection locked="0"/>
    </xf>
    <xf numFmtId="164" fontId="9" fillId="0" borderId="65" xfId="0" applyNumberFormat="1" applyFont="1" applyBorder="1" applyAlignment="1" applyProtection="1">
      <alignment horizontal="center" vertical="center"/>
      <protection locked="0"/>
    </xf>
    <xf numFmtId="1" fontId="9" fillId="0" borderId="32" xfId="0" applyNumberFormat="1" applyFont="1" applyBorder="1" applyAlignment="1" applyProtection="1">
      <alignment horizontal="center" vertical="center" wrapText="1"/>
      <protection locked="0"/>
    </xf>
    <xf numFmtId="164" fontId="9" fillId="0" borderId="105" xfId="0" applyNumberFormat="1" applyFont="1" applyBorder="1" applyAlignment="1" applyProtection="1">
      <alignment horizontal="center" vertical="center"/>
      <protection locked="0"/>
    </xf>
    <xf numFmtId="164" fontId="9" fillId="0" borderId="32" xfId="0" applyNumberFormat="1" applyFont="1" applyBorder="1" applyAlignment="1" applyProtection="1">
      <alignment horizontal="center" vertical="center"/>
      <protection locked="0"/>
    </xf>
    <xf numFmtId="164" fontId="9" fillId="0" borderId="73" xfId="0" applyNumberFormat="1" applyFont="1" applyBorder="1" applyAlignment="1" applyProtection="1">
      <alignment horizontal="center" vertical="center"/>
    </xf>
    <xf numFmtId="164" fontId="9" fillId="0" borderId="103" xfId="0" applyNumberFormat="1" applyFont="1" applyBorder="1" applyAlignment="1" applyProtection="1">
      <alignment horizontal="center" vertical="center"/>
    </xf>
    <xf numFmtId="0" fontId="2" fillId="0" borderId="0" xfId="0" applyFont="1" applyFill="1" applyBorder="1" applyAlignment="1" applyProtection="1">
      <alignment horizontal="left" vertical="center" indent="1"/>
    </xf>
    <xf numFmtId="0" fontId="9" fillId="0" borderId="0" xfId="0" applyFont="1" applyFill="1" applyBorder="1" applyAlignment="1" applyProtection="1">
      <alignment horizontal="center" vertical="center" wrapText="1"/>
    </xf>
    <xf numFmtId="0" fontId="7" fillId="0" borderId="0" xfId="0" applyFont="1" applyAlignment="1" applyProtection="1">
      <alignment horizontal="center" vertical="center"/>
    </xf>
    <xf numFmtId="164" fontId="2" fillId="5" borderId="2" xfId="0" applyNumberFormat="1" applyFont="1" applyFill="1" applyBorder="1" applyAlignment="1" applyProtection="1">
      <alignment horizontal="center" vertical="center"/>
    </xf>
    <xf numFmtId="1" fontId="2" fillId="8" borderId="3" xfId="0" applyNumberFormat="1" applyFont="1" applyFill="1" applyBorder="1" applyAlignment="1" applyProtection="1">
      <alignment horizontal="center" vertical="center" wrapText="1"/>
      <protection locked="0"/>
    </xf>
    <xf numFmtId="14" fontId="2" fillId="8" borderId="3" xfId="0" applyNumberFormat="1" applyFont="1" applyFill="1" applyBorder="1" applyAlignment="1" applyProtection="1">
      <alignment horizontal="center" vertical="center" wrapText="1"/>
      <protection locked="0"/>
    </xf>
    <xf numFmtId="0" fontId="2" fillId="8" borderId="3" xfId="0" applyFont="1" applyFill="1" applyBorder="1" applyAlignment="1" applyProtection="1">
      <alignment horizontal="center" vertical="center" wrapText="1"/>
      <protection locked="0"/>
    </xf>
    <xf numFmtId="0" fontId="2" fillId="5" borderId="3" xfId="0" applyFont="1" applyFill="1" applyBorder="1" applyAlignment="1" applyProtection="1">
      <alignment horizontal="center" vertical="center" wrapText="1"/>
      <protection locked="0"/>
    </xf>
    <xf numFmtId="14" fontId="2" fillId="8" borderId="4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17" xfId="0" applyFont="1" applyBorder="1" applyAlignment="1" applyProtection="1">
      <alignment horizontal="center"/>
    </xf>
    <xf numFmtId="0" fontId="7" fillId="2" borderId="18" xfId="0" applyFont="1" applyFill="1" applyBorder="1" applyAlignment="1" applyProtection="1">
      <alignment horizontal="center" vertical="center" wrapText="1"/>
    </xf>
    <xf numFmtId="0" fontId="7" fillId="2" borderId="19" xfId="0" applyFont="1" applyFill="1" applyBorder="1" applyAlignment="1" applyProtection="1">
      <alignment horizontal="center" vertical="center" wrapText="1"/>
    </xf>
    <xf numFmtId="165" fontId="2" fillId="5" borderId="4" xfId="0" applyNumberFormat="1" applyFont="1" applyFill="1" applyBorder="1" applyAlignment="1" applyProtection="1">
      <alignment horizontal="center" vertical="center"/>
      <protection locked="0"/>
    </xf>
    <xf numFmtId="1" fontId="9" fillId="0" borderId="56" xfId="0" applyNumberFormat="1" applyFont="1" applyBorder="1" applyAlignment="1" applyProtection="1">
      <alignment horizontal="center" vertical="center" wrapText="1"/>
      <protection locked="0"/>
    </xf>
    <xf numFmtId="0" fontId="9" fillId="0" borderId="56" xfId="0" applyFont="1" applyBorder="1" applyAlignment="1" applyProtection="1">
      <alignment horizontal="center" vertical="center"/>
      <protection locked="0"/>
    </xf>
    <xf numFmtId="0" fontId="9" fillId="0" borderId="158" xfId="0" applyFont="1" applyBorder="1" applyAlignment="1" applyProtection="1">
      <alignment horizontal="center" vertical="center"/>
      <protection locked="0"/>
    </xf>
    <xf numFmtId="164" fontId="9" fillId="0" borderId="158" xfId="0" applyNumberFormat="1" applyFont="1" applyBorder="1" applyAlignment="1" applyProtection="1">
      <alignment horizontal="center" vertical="center"/>
    </xf>
    <xf numFmtId="0" fontId="9" fillId="0" borderId="66" xfId="0" applyFont="1" applyBorder="1" applyAlignment="1" applyProtection="1">
      <alignment horizontal="center" vertical="center"/>
      <protection locked="0"/>
    </xf>
    <xf numFmtId="0" fontId="8" fillId="0" borderId="0" xfId="0" applyFont="1" applyAlignment="1" applyProtection="1">
      <alignment horizontal="left" vertical="center" indent="1"/>
    </xf>
    <xf numFmtId="164" fontId="2" fillId="0" borderId="0" xfId="0" applyNumberFormat="1" applyFont="1" applyBorder="1" applyAlignment="1" applyProtection="1">
      <alignment horizontal="left" vertical="center" indent="1"/>
    </xf>
    <xf numFmtId="0" fontId="2" fillId="0" borderId="0" xfId="0" applyFont="1" applyAlignment="1" applyProtection="1">
      <alignment horizontal="left" vertical="center" indent="1"/>
    </xf>
    <xf numFmtId="0" fontId="8" fillId="11" borderId="97" xfId="0" applyFont="1" applyFill="1" applyBorder="1" applyAlignment="1" applyProtection="1">
      <alignment horizontal="center" vertical="center"/>
    </xf>
    <xf numFmtId="0" fontId="8" fillId="11" borderId="98" xfId="0" applyFont="1" applyFill="1" applyBorder="1" applyAlignment="1" applyProtection="1">
      <alignment horizontal="center" vertical="center"/>
    </xf>
    <xf numFmtId="0" fontId="8" fillId="11" borderId="99" xfId="0" applyFont="1" applyFill="1" applyBorder="1" applyAlignment="1" applyProtection="1">
      <alignment horizontal="center" vertical="center"/>
    </xf>
    <xf numFmtId="0" fontId="8" fillId="11" borderId="100" xfId="0" applyFont="1" applyFill="1" applyBorder="1" applyAlignment="1" applyProtection="1">
      <alignment horizontal="center" vertical="center"/>
    </xf>
    <xf numFmtId="164" fontId="3" fillId="12" borderId="41" xfId="0" applyNumberFormat="1" applyFont="1" applyFill="1" applyBorder="1" applyAlignment="1" applyProtection="1">
      <alignment horizontal="center" vertical="center"/>
    </xf>
    <xf numFmtId="164" fontId="3" fillId="12" borderId="35" xfId="0" applyNumberFormat="1" applyFont="1" applyFill="1" applyBorder="1" applyAlignment="1" applyProtection="1">
      <alignment horizontal="center" vertical="center"/>
    </xf>
    <xf numFmtId="164" fontId="3" fillId="13" borderId="41" xfId="0" applyNumberFormat="1" applyFont="1" applyFill="1" applyBorder="1" applyAlignment="1" applyProtection="1">
      <alignment horizontal="center" vertical="center"/>
    </xf>
    <xf numFmtId="164" fontId="3" fillId="13" borderId="35" xfId="0" applyNumberFormat="1" applyFont="1" applyFill="1" applyBorder="1" applyAlignment="1" applyProtection="1">
      <alignment horizontal="center" vertical="center"/>
    </xf>
    <xf numFmtId="164" fontId="3" fillId="13" borderId="36" xfId="0" applyNumberFormat="1" applyFont="1" applyFill="1" applyBorder="1" applyAlignment="1" applyProtection="1">
      <alignment horizontal="center" vertical="center"/>
    </xf>
    <xf numFmtId="164" fontId="3" fillId="13" borderId="38" xfId="0" applyNumberFormat="1" applyFont="1" applyFill="1" applyBorder="1" applyAlignment="1" applyProtection="1">
      <alignment horizontal="center" vertical="center"/>
    </xf>
    <xf numFmtId="164" fontId="10" fillId="13" borderId="41" xfId="0" applyNumberFormat="1" applyFont="1" applyFill="1" applyBorder="1" applyAlignment="1" applyProtection="1">
      <alignment horizontal="center" vertical="center"/>
    </xf>
    <xf numFmtId="0" fontId="8" fillId="14" borderId="83" xfId="0" applyFont="1" applyFill="1" applyBorder="1" applyAlignment="1" applyProtection="1">
      <alignment horizontal="center" vertical="center" wrapText="1"/>
    </xf>
    <xf numFmtId="164" fontId="10" fillId="10" borderId="84" xfId="0" applyNumberFormat="1" applyFont="1" applyFill="1" applyBorder="1" applyAlignment="1" applyProtection="1">
      <alignment horizontal="center" vertical="center"/>
    </xf>
    <xf numFmtId="164" fontId="8" fillId="9" borderId="49" xfId="0" applyNumberFormat="1" applyFont="1" applyFill="1" applyBorder="1" applyAlignment="1" applyProtection="1">
      <alignment horizontal="center" vertical="center"/>
    </xf>
    <xf numFmtId="164" fontId="8" fillId="10" borderId="58" xfId="0" applyNumberFormat="1" applyFont="1" applyFill="1" applyBorder="1" applyAlignment="1" applyProtection="1">
      <alignment horizontal="center" vertical="center"/>
    </xf>
    <xf numFmtId="164" fontId="2" fillId="0" borderId="65" xfId="0" applyNumberFormat="1" applyFont="1" applyBorder="1" applyAlignment="1" applyProtection="1">
      <alignment horizontal="center" vertical="center"/>
      <protection locked="0"/>
    </xf>
    <xf numFmtId="164" fontId="2" fillId="0" borderId="32" xfId="0" applyNumberFormat="1" applyFont="1" applyBorder="1" applyAlignment="1" applyProtection="1">
      <alignment horizontal="center" vertical="center"/>
      <protection locked="0"/>
    </xf>
    <xf numFmtId="164" fontId="2" fillId="0" borderId="68" xfId="0" applyNumberFormat="1" applyFont="1" applyBorder="1" applyAlignment="1" applyProtection="1">
      <alignment horizontal="center" vertical="center"/>
      <protection locked="0"/>
    </xf>
    <xf numFmtId="164" fontId="2" fillId="0" borderId="66" xfId="0" applyNumberFormat="1" applyFont="1" applyBorder="1" applyAlignment="1" applyProtection="1">
      <alignment horizontal="center" vertical="center"/>
      <protection locked="0"/>
    </xf>
    <xf numFmtId="164" fontId="2" fillId="0" borderId="67" xfId="0" applyNumberFormat="1" applyFont="1" applyBorder="1" applyAlignment="1" applyProtection="1">
      <alignment horizontal="center" vertical="center"/>
      <protection locked="0"/>
    </xf>
    <xf numFmtId="164" fontId="2" fillId="0" borderId="69" xfId="0" applyNumberFormat="1" applyFont="1" applyBorder="1" applyAlignment="1" applyProtection="1">
      <alignment horizontal="center" vertical="center"/>
      <protection locked="0"/>
    </xf>
    <xf numFmtId="164" fontId="2" fillId="0" borderId="34" xfId="0" applyNumberFormat="1" applyFont="1" applyFill="1" applyBorder="1" applyAlignment="1" applyProtection="1">
      <alignment horizontal="center" vertical="center"/>
      <protection locked="0"/>
    </xf>
    <xf numFmtId="164" fontId="7" fillId="5" borderId="24" xfId="0" applyNumberFormat="1" applyFont="1" applyFill="1" applyBorder="1" applyAlignment="1" applyProtection="1">
      <alignment horizontal="center" vertical="center"/>
    </xf>
    <xf numFmtId="164" fontId="2" fillId="0" borderId="7" xfId="0" applyNumberFormat="1" applyFont="1" applyBorder="1" applyAlignment="1" applyProtection="1">
      <alignment horizontal="center" vertical="center" wrapText="1"/>
    </xf>
    <xf numFmtId="14" fontId="2" fillId="0" borderId="8" xfId="0" applyNumberFormat="1" applyFont="1" applyBorder="1" applyAlignment="1" applyProtection="1">
      <alignment horizontal="center" vertical="center"/>
      <protection locked="0"/>
    </xf>
    <xf numFmtId="0" fontId="2" fillId="0" borderId="9" xfId="0" applyFont="1" applyBorder="1" applyAlignment="1" applyProtection="1">
      <alignment horizontal="center" vertical="center"/>
      <protection locked="0"/>
    </xf>
    <xf numFmtId="164" fontId="2" fillId="0" borderId="22" xfId="0" applyNumberFormat="1" applyFont="1" applyBorder="1" applyAlignment="1" applyProtection="1">
      <alignment horizontal="center" vertical="center" wrapText="1"/>
    </xf>
    <xf numFmtId="0" fontId="9" fillId="0" borderId="0" xfId="0" applyFont="1" applyFill="1" applyBorder="1" applyAlignment="1" applyProtection="1">
      <alignment horizontal="center" vertical="center" wrapText="1"/>
    </xf>
    <xf numFmtId="0" fontId="2" fillId="5" borderId="110" xfId="0" applyNumberFormat="1" applyFont="1" applyFill="1" applyBorder="1" applyAlignment="1" applyProtection="1">
      <alignment horizontal="center" vertical="center"/>
    </xf>
    <xf numFmtId="164" fontId="9" fillId="0" borderId="102" xfId="0" applyNumberFormat="1" applyFont="1" applyBorder="1" applyAlignment="1" applyProtection="1">
      <alignment horizontal="center" vertical="center"/>
    </xf>
    <xf numFmtId="164" fontId="9" fillId="0" borderId="104" xfId="0" applyNumberFormat="1" applyFont="1" applyBorder="1" applyAlignment="1" applyProtection="1">
      <alignment horizontal="center" vertical="center"/>
    </xf>
    <xf numFmtId="164" fontId="9" fillId="0" borderId="65" xfId="0" applyNumberFormat="1" applyFont="1" applyBorder="1" applyAlignment="1" applyProtection="1">
      <alignment horizontal="center" vertical="center"/>
    </xf>
    <xf numFmtId="164" fontId="9" fillId="0" borderId="56" xfId="0" applyNumberFormat="1" applyFont="1" applyBorder="1" applyAlignment="1" applyProtection="1">
      <alignment horizontal="center" vertical="center"/>
    </xf>
    <xf numFmtId="0" fontId="8" fillId="11" borderId="104" xfId="0" applyFont="1" applyFill="1" applyBorder="1" applyAlignment="1" applyProtection="1">
      <alignment horizontal="center" vertical="center" wrapText="1"/>
    </xf>
    <xf numFmtId="0" fontId="8" fillId="11" borderId="56" xfId="0" applyFont="1" applyFill="1" applyBorder="1" applyAlignment="1" applyProtection="1">
      <alignment horizontal="center" vertical="center" wrapText="1"/>
    </xf>
    <xf numFmtId="0" fontId="8" fillId="11" borderId="158" xfId="0" applyFont="1" applyFill="1" applyBorder="1" applyAlignment="1" applyProtection="1">
      <alignment horizontal="center" vertical="center" wrapText="1"/>
    </xf>
    <xf numFmtId="0" fontId="8" fillId="11" borderId="99" xfId="0" applyFont="1" applyFill="1" applyBorder="1" applyAlignment="1" applyProtection="1">
      <alignment horizontal="center" vertical="center" wrapText="1"/>
    </xf>
    <xf numFmtId="0" fontId="8" fillId="11" borderId="70" xfId="0" applyFont="1" applyFill="1" applyBorder="1" applyAlignment="1" applyProtection="1">
      <alignment horizontal="center" vertical="center" wrapText="1"/>
    </xf>
    <xf numFmtId="0" fontId="8" fillId="11" borderId="72" xfId="0" applyFont="1" applyFill="1" applyBorder="1" applyAlignment="1" applyProtection="1">
      <alignment horizontal="center" vertical="center"/>
    </xf>
    <xf numFmtId="164" fontId="9" fillId="0" borderId="32" xfId="0" applyNumberFormat="1" applyFont="1" applyBorder="1" applyAlignment="1" applyProtection="1">
      <alignment horizontal="center" vertical="center"/>
    </xf>
    <xf numFmtId="0" fontId="9" fillId="0" borderId="71" xfId="0" applyFont="1" applyBorder="1" applyAlignment="1" applyProtection="1">
      <alignment horizontal="center" vertical="center"/>
      <protection locked="0"/>
    </xf>
    <xf numFmtId="164" fontId="9" fillId="0" borderId="68" xfId="0" applyNumberFormat="1" applyFont="1" applyBorder="1" applyAlignment="1" applyProtection="1">
      <alignment horizontal="center" vertical="center"/>
    </xf>
    <xf numFmtId="0" fontId="2" fillId="0" borderId="76" xfId="0" applyFont="1" applyBorder="1" applyAlignment="1" applyProtection="1">
      <alignment horizontal="center" vertical="center"/>
    </xf>
    <xf numFmtId="0" fontId="9" fillId="0" borderId="0" xfId="0" applyFont="1" applyFill="1" applyBorder="1" applyAlignment="1" applyProtection="1">
      <alignment vertical="center" wrapText="1"/>
      <protection locked="0"/>
    </xf>
    <xf numFmtId="1" fontId="9" fillId="0" borderId="68" xfId="0" applyNumberFormat="1" applyFont="1" applyBorder="1" applyAlignment="1" applyProtection="1">
      <alignment horizontal="center" vertical="center" wrapText="1"/>
      <protection locked="0"/>
    </xf>
    <xf numFmtId="0" fontId="9" fillId="0" borderId="68" xfId="0" applyFont="1" applyBorder="1" applyAlignment="1" applyProtection="1">
      <alignment horizontal="center" vertical="center"/>
      <protection locked="0"/>
    </xf>
    <xf numFmtId="164" fontId="9" fillId="0" borderId="161" xfId="0" applyNumberFormat="1" applyFont="1" applyBorder="1" applyAlignment="1" applyProtection="1">
      <alignment horizontal="center" vertical="center"/>
    </xf>
    <xf numFmtId="0" fontId="9" fillId="0" borderId="32" xfId="0" applyFont="1" applyBorder="1" applyAlignment="1" applyProtection="1">
      <alignment horizontal="center" vertical="center"/>
      <protection locked="0"/>
    </xf>
    <xf numFmtId="164" fontId="9" fillId="0" borderId="105" xfId="0" applyNumberFormat="1" applyFont="1" applyBorder="1" applyAlignment="1" applyProtection="1">
      <alignment horizontal="center" vertical="center"/>
    </xf>
    <xf numFmtId="164" fontId="9" fillId="0" borderId="63" xfId="0" applyNumberFormat="1" applyFont="1" applyBorder="1" applyAlignment="1" applyProtection="1">
      <alignment horizontal="center" vertical="center"/>
      <protection locked="0"/>
    </xf>
    <xf numFmtId="164" fontId="9" fillId="0" borderId="55" xfId="0" applyNumberFormat="1" applyFont="1" applyBorder="1" applyAlignment="1" applyProtection="1">
      <alignment horizontal="center" vertical="center"/>
      <protection locked="0"/>
    </xf>
    <xf numFmtId="164" fontId="9" fillId="0" borderId="64" xfId="0" applyNumberFormat="1" applyFont="1" applyBorder="1" applyAlignment="1" applyProtection="1">
      <alignment horizontal="center" vertical="center"/>
      <protection locked="0"/>
    </xf>
    <xf numFmtId="164" fontId="9" fillId="0" borderId="62" xfId="0" applyNumberFormat="1" applyFont="1" applyBorder="1" applyAlignment="1" applyProtection="1">
      <alignment horizontal="center" vertical="center"/>
      <protection locked="0"/>
    </xf>
    <xf numFmtId="164" fontId="9" fillId="0" borderId="73" xfId="0" applyNumberFormat="1" applyFont="1" applyBorder="1" applyAlignment="1" applyProtection="1">
      <alignment horizontal="center" vertical="center"/>
      <protection locked="0"/>
    </xf>
    <xf numFmtId="164" fontId="9" fillId="0" borderId="158" xfId="0" applyNumberFormat="1" applyFont="1" applyBorder="1" applyAlignment="1" applyProtection="1">
      <alignment horizontal="center" vertical="center"/>
      <protection locked="0"/>
    </xf>
    <xf numFmtId="164" fontId="10" fillId="0" borderId="0" xfId="0" applyNumberFormat="1" applyFont="1" applyFill="1" applyBorder="1" applyAlignment="1" applyProtection="1">
      <alignment horizontal="center" vertical="center"/>
    </xf>
    <xf numFmtId="0" fontId="9" fillId="0" borderId="184" xfId="0" applyFont="1" applyFill="1" applyBorder="1" applyAlignment="1" applyProtection="1">
      <alignment horizontal="center" vertical="center"/>
    </xf>
    <xf numFmtId="164" fontId="3" fillId="3" borderId="145" xfId="0" applyNumberFormat="1" applyFont="1" applyFill="1" applyBorder="1" applyAlignment="1" applyProtection="1">
      <alignment horizontal="center" vertical="center"/>
      <protection locked="0"/>
    </xf>
    <xf numFmtId="164" fontId="3" fillId="12" borderId="145" xfId="0" applyNumberFormat="1" applyFont="1" applyFill="1" applyBorder="1" applyAlignment="1" applyProtection="1">
      <alignment horizontal="center" vertical="center"/>
    </xf>
    <xf numFmtId="164" fontId="3" fillId="0" borderId="145" xfId="0" applyNumberFormat="1" applyFont="1" applyBorder="1" applyAlignment="1" applyProtection="1">
      <alignment horizontal="center" vertical="center"/>
      <protection locked="0"/>
    </xf>
    <xf numFmtId="164" fontId="3" fillId="0" borderId="185" xfId="0" applyNumberFormat="1" applyFont="1" applyBorder="1" applyAlignment="1" applyProtection="1">
      <alignment horizontal="center" vertical="center"/>
      <protection locked="0"/>
    </xf>
    <xf numFmtId="164" fontId="10" fillId="9" borderId="186" xfId="0" applyNumberFormat="1" applyFont="1" applyFill="1" applyBorder="1" applyAlignment="1" applyProtection="1">
      <alignment horizontal="center" vertical="center"/>
    </xf>
    <xf numFmtId="164" fontId="10" fillId="9" borderId="77" xfId="0" applyNumberFormat="1" applyFont="1" applyFill="1" applyBorder="1" applyAlignment="1" applyProtection="1">
      <alignment horizontal="center" vertical="center"/>
    </xf>
    <xf numFmtId="0" fontId="9" fillId="0" borderId="68" xfId="0" applyFont="1" applyFill="1" applyBorder="1" applyAlignment="1" applyProtection="1">
      <alignment horizontal="center" vertical="center"/>
    </xf>
    <xf numFmtId="164" fontId="3" fillId="3" borderId="68" xfId="0" applyNumberFormat="1" applyFont="1" applyFill="1" applyBorder="1" applyAlignment="1" applyProtection="1">
      <alignment horizontal="center" vertical="center"/>
      <protection locked="0"/>
    </xf>
    <xf numFmtId="164" fontId="3" fillId="12" borderId="68" xfId="0" applyNumberFormat="1" applyFont="1" applyFill="1" applyBorder="1" applyAlignment="1" applyProtection="1">
      <alignment horizontal="center" vertical="center"/>
    </xf>
    <xf numFmtId="164" fontId="3" fillId="0" borderId="68" xfId="0" applyNumberFormat="1" applyFont="1" applyBorder="1" applyAlignment="1" applyProtection="1">
      <alignment horizontal="center" vertical="center"/>
      <protection locked="0"/>
    </xf>
    <xf numFmtId="164" fontId="3" fillId="0" borderId="69" xfId="0" applyNumberFormat="1" applyFont="1" applyBorder="1" applyAlignment="1" applyProtection="1">
      <alignment horizontal="center" vertical="center"/>
      <protection locked="0"/>
    </xf>
    <xf numFmtId="164" fontId="10" fillId="9" borderId="161" xfId="0" applyNumberFormat="1" applyFont="1" applyFill="1" applyBorder="1" applyAlignment="1" applyProtection="1">
      <alignment horizontal="center" vertical="center"/>
    </xf>
    <xf numFmtId="0" fontId="9" fillId="0" borderId="164" xfId="0" applyFont="1" applyFill="1" applyBorder="1" applyAlignment="1" applyProtection="1">
      <alignment horizontal="center" vertical="center"/>
    </xf>
    <xf numFmtId="0" fontId="9" fillId="0" borderId="56" xfId="0" applyFont="1" applyFill="1" applyBorder="1" applyAlignment="1" applyProtection="1">
      <alignment horizontal="center" vertical="center"/>
    </xf>
    <xf numFmtId="164" fontId="10" fillId="9" borderId="76" xfId="0" applyNumberFormat="1" applyFont="1" applyFill="1" applyBorder="1" applyAlignment="1" applyProtection="1">
      <alignment horizontal="center" vertical="center"/>
    </xf>
    <xf numFmtId="164" fontId="3" fillId="3" borderId="166" xfId="0" applyNumberFormat="1" applyFont="1" applyFill="1" applyBorder="1" applyAlignment="1" applyProtection="1">
      <alignment horizontal="center" vertical="center"/>
    </xf>
    <xf numFmtId="164" fontId="3" fillId="3" borderId="56" xfId="0" applyNumberFormat="1" applyFont="1" applyFill="1" applyBorder="1" applyAlignment="1" applyProtection="1">
      <alignment horizontal="center" vertical="center"/>
    </xf>
    <xf numFmtId="164" fontId="10" fillId="9" borderId="137" xfId="0" applyNumberFormat="1" applyFont="1" applyFill="1" applyBorder="1" applyAlignment="1" applyProtection="1">
      <alignment horizontal="center" vertical="center"/>
    </xf>
    <xf numFmtId="164" fontId="3" fillId="3" borderId="68" xfId="0" applyNumberFormat="1" applyFont="1" applyFill="1" applyBorder="1" applyAlignment="1" applyProtection="1">
      <alignment horizontal="center" vertical="center"/>
    </xf>
    <xf numFmtId="164" fontId="2" fillId="0" borderId="65" xfId="0" applyNumberFormat="1" applyFont="1" applyBorder="1" applyAlignment="1" applyProtection="1">
      <alignment horizontal="center"/>
      <protection locked="0"/>
    </xf>
    <xf numFmtId="164" fontId="2" fillId="0" borderId="66" xfId="0" applyNumberFormat="1" applyFont="1" applyBorder="1" applyAlignment="1" applyProtection="1">
      <alignment horizontal="center"/>
      <protection locked="0"/>
    </xf>
    <xf numFmtId="164" fontId="2" fillId="0" borderId="67" xfId="0" applyNumberFormat="1" applyFont="1" applyBorder="1" applyAlignment="1" applyProtection="1">
      <alignment horizontal="center"/>
      <protection locked="0"/>
    </xf>
    <xf numFmtId="164" fontId="2" fillId="0" borderId="69" xfId="0" applyNumberFormat="1" applyFont="1" applyBorder="1" applyAlignment="1" applyProtection="1">
      <alignment horizontal="center"/>
      <protection locked="0"/>
    </xf>
    <xf numFmtId="0" fontId="2" fillId="0" borderId="0" xfId="0" applyFont="1" applyFill="1" applyBorder="1" applyAlignment="1" applyProtection="1">
      <alignment horizontal="left" vertical="center" indent="1"/>
    </xf>
    <xf numFmtId="0" fontId="9" fillId="0" borderId="0" xfId="0" applyFont="1" applyFill="1" applyBorder="1" applyAlignment="1" applyProtection="1">
      <alignment horizontal="center" vertical="center" wrapText="1"/>
    </xf>
    <xf numFmtId="0" fontId="2" fillId="0" borderId="0" xfId="0" applyFont="1" applyFill="1" applyBorder="1" applyAlignment="1" applyProtection="1">
      <alignment horizontal="center" vertical="center"/>
    </xf>
    <xf numFmtId="164" fontId="7" fillId="5" borderId="23" xfId="0" applyNumberFormat="1" applyFont="1" applyFill="1" applyBorder="1" applyAlignment="1" applyProtection="1">
      <alignment horizontal="center" vertical="center"/>
    </xf>
    <xf numFmtId="164" fontId="7" fillId="5" borderId="26" xfId="0" applyNumberFormat="1" applyFont="1" applyFill="1" applyBorder="1" applyAlignment="1" applyProtection="1">
      <alignment horizontal="center" vertical="center"/>
    </xf>
    <xf numFmtId="164" fontId="7" fillId="5" borderId="27" xfId="0" applyNumberFormat="1" applyFont="1" applyFill="1" applyBorder="1" applyAlignment="1" applyProtection="1">
      <alignment horizontal="center" vertical="center"/>
    </xf>
    <xf numFmtId="164" fontId="2" fillId="0" borderId="120" xfId="0" applyNumberFormat="1" applyFont="1" applyFill="1" applyBorder="1" applyAlignment="1" applyProtection="1">
      <alignment horizontal="center" vertical="center"/>
      <protection locked="0"/>
    </xf>
    <xf numFmtId="164" fontId="7" fillId="8" borderId="111" xfId="0" applyNumberFormat="1" applyFont="1" applyFill="1" applyBorder="1" applyAlignment="1" applyProtection="1">
      <alignment horizontal="center" vertical="center"/>
    </xf>
    <xf numFmtId="164" fontId="8" fillId="6" borderId="114" xfId="0" applyNumberFormat="1" applyFont="1" applyFill="1" applyBorder="1" applyAlignment="1" applyProtection="1">
      <alignment horizontal="center" vertical="center"/>
    </xf>
    <xf numFmtId="2" fontId="7" fillId="7" borderId="120" xfId="7" applyNumberFormat="1" applyFont="1" applyFill="1" applyBorder="1" applyAlignment="1" applyProtection="1">
      <alignment horizontal="center" vertical="center"/>
    </xf>
    <xf numFmtId="164" fontId="2" fillId="0" borderId="22" xfId="0" applyNumberFormat="1" applyFont="1" applyFill="1" applyBorder="1" applyAlignment="1" applyProtection="1">
      <alignment horizontal="center" vertical="center"/>
      <protection locked="0"/>
    </xf>
    <xf numFmtId="0" fontId="2" fillId="8" borderId="53" xfId="0" applyFont="1" applyFill="1" applyBorder="1" applyAlignment="1" applyProtection="1">
      <alignment horizontal="center" vertical="center" wrapText="1"/>
      <protection locked="0"/>
    </xf>
    <xf numFmtId="164" fontId="9" fillId="0" borderId="191" xfId="0" applyNumberFormat="1" applyFont="1" applyBorder="1" applyAlignment="1" applyProtection="1">
      <alignment horizontal="center" vertical="center"/>
    </xf>
    <xf numFmtId="164" fontId="9" fillId="0" borderId="59" xfId="0" applyNumberFormat="1" applyFont="1" applyBorder="1" applyAlignment="1" applyProtection="1">
      <alignment horizontal="center" vertical="center"/>
    </xf>
    <xf numFmtId="0" fontId="6" fillId="0" borderId="0" xfId="0" applyFont="1" applyAlignment="1">
      <alignment vertical="center"/>
    </xf>
    <xf numFmtId="164" fontId="9" fillId="0" borderId="163" xfId="0" applyNumberFormat="1" applyFont="1" applyBorder="1" applyAlignment="1" applyProtection="1">
      <alignment horizontal="center" vertical="center"/>
    </xf>
    <xf numFmtId="164" fontId="9" fillId="0" borderId="135" xfId="0" applyNumberFormat="1" applyFont="1" applyBorder="1" applyAlignment="1" applyProtection="1">
      <alignment horizontal="center" vertical="center"/>
      <protection locked="0"/>
    </xf>
    <xf numFmtId="164" fontId="9" fillId="0" borderId="165" xfId="0" applyNumberFormat="1" applyFont="1" applyBorder="1" applyAlignment="1" applyProtection="1">
      <alignment horizontal="center" vertical="center"/>
    </xf>
    <xf numFmtId="164" fontId="9" fillId="0" borderId="162" xfId="0" applyNumberFormat="1" applyFont="1" applyBorder="1" applyAlignment="1" applyProtection="1">
      <alignment horizontal="center" vertical="center"/>
    </xf>
    <xf numFmtId="164" fontId="10" fillId="9" borderId="193" xfId="0" applyNumberFormat="1" applyFont="1" applyFill="1" applyBorder="1" applyAlignment="1" applyProtection="1">
      <alignment horizontal="center" vertical="center"/>
    </xf>
    <xf numFmtId="164" fontId="3" fillId="3" borderId="194" xfId="0" applyNumberFormat="1" applyFont="1" applyFill="1" applyBorder="1" applyAlignment="1" applyProtection="1">
      <alignment horizontal="center" vertical="center"/>
      <protection locked="0"/>
    </xf>
    <xf numFmtId="164" fontId="3" fillId="3" borderId="87" xfId="0" applyNumberFormat="1" applyFont="1" applyFill="1" applyBorder="1" applyAlignment="1" applyProtection="1">
      <alignment horizontal="center" vertical="center"/>
      <protection locked="0"/>
    </xf>
    <xf numFmtId="164" fontId="3" fillId="12" borderId="194" xfId="0" applyNumberFormat="1" applyFont="1" applyFill="1" applyBorder="1" applyAlignment="1" applyProtection="1">
      <alignment horizontal="center" vertical="center"/>
    </xf>
    <xf numFmtId="164" fontId="3" fillId="12" borderId="87" xfId="0" applyNumberFormat="1" applyFont="1" applyFill="1" applyBorder="1" applyAlignment="1" applyProtection="1">
      <alignment horizontal="center" vertical="center"/>
    </xf>
    <xf numFmtId="164" fontId="3" fillId="12" borderId="184" xfId="0" applyNumberFormat="1" applyFont="1" applyFill="1" applyBorder="1" applyAlignment="1" applyProtection="1">
      <alignment horizontal="center" vertical="center"/>
    </xf>
    <xf numFmtId="164" fontId="3" fillId="12" borderId="55" xfId="0" applyNumberFormat="1" applyFont="1" applyFill="1" applyBorder="1" applyAlignment="1" applyProtection="1">
      <alignment horizontal="center" vertical="center"/>
    </xf>
    <xf numFmtId="164" fontId="3" fillId="3" borderId="190" xfId="0" applyNumberFormat="1" applyFont="1" applyFill="1" applyBorder="1" applyAlignment="1" applyProtection="1">
      <alignment horizontal="center" vertical="center"/>
    </xf>
    <xf numFmtId="164" fontId="3" fillId="3" borderId="62" xfId="0" applyNumberFormat="1" applyFont="1" applyFill="1" applyBorder="1" applyAlignment="1" applyProtection="1">
      <alignment horizontal="center" vertical="center"/>
    </xf>
    <xf numFmtId="164" fontId="10" fillId="9" borderId="51" xfId="0" applyNumberFormat="1" applyFont="1" applyFill="1" applyBorder="1" applyAlignment="1" applyProtection="1">
      <alignment horizontal="center" vertical="center"/>
    </xf>
    <xf numFmtId="0" fontId="3" fillId="0" borderId="83" xfId="0" applyFont="1" applyBorder="1" applyAlignment="1" applyProtection="1">
      <alignment horizontal="center" vertical="center"/>
    </xf>
    <xf numFmtId="164" fontId="3" fillId="3" borderId="43" xfId="0" applyNumberFormat="1" applyFont="1" applyFill="1" applyBorder="1" applyAlignment="1" applyProtection="1">
      <alignment horizontal="center" vertical="center"/>
      <protection locked="0"/>
    </xf>
    <xf numFmtId="164" fontId="3" fillId="3" borderId="83" xfId="0" applyNumberFormat="1" applyFont="1" applyFill="1" applyBorder="1" applyAlignment="1" applyProtection="1">
      <alignment horizontal="center" vertical="center"/>
      <protection locked="0"/>
    </xf>
    <xf numFmtId="164" fontId="3" fillId="3" borderId="195" xfId="0" applyNumberFormat="1" applyFont="1" applyFill="1" applyBorder="1" applyAlignment="1" applyProtection="1">
      <alignment horizontal="center" vertical="center"/>
      <protection locked="0"/>
    </xf>
    <xf numFmtId="164" fontId="3" fillId="3" borderId="196" xfId="0" applyNumberFormat="1" applyFont="1" applyFill="1" applyBorder="1" applyAlignment="1" applyProtection="1">
      <alignment horizontal="center" vertical="center"/>
      <protection locked="0"/>
    </xf>
    <xf numFmtId="164" fontId="3" fillId="3" borderId="197" xfId="0" applyNumberFormat="1" applyFont="1" applyFill="1" applyBorder="1" applyAlignment="1" applyProtection="1">
      <alignment horizontal="center" vertical="center"/>
    </xf>
    <xf numFmtId="164" fontId="3" fillId="3" borderId="198" xfId="0" applyNumberFormat="1" applyFont="1" applyFill="1" applyBorder="1" applyAlignment="1" applyProtection="1">
      <alignment horizontal="center" vertical="center"/>
    </xf>
    <xf numFmtId="164" fontId="10" fillId="9" borderId="199" xfId="0" applyNumberFormat="1" applyFont="1" applyFill="1" applyBorder="1" applyAlignment="1" applyProtection="1">
      <alignment horizontal="center" vertical="center"/>
    </xf>
    <xf numFmtId="164" fontId="3" fillId="13" borderId="194" xfId="0" applyNumberFormat="1" applyFont="1" applyFill="1" applyBorder="1" applyAlignment="1" applyProtection="1">
      <alignment horizontal="center" vertical="center"/>
    </xf>
    <xf numFmtId="164" fontId="3" fillId="13" borderId="87" xfId="0" applyNumberFormat="1" applyFont="1" applyFill="1" applyBorder="1" applyAlignment="1" applyProtection="1">
      <alignment horizontal="center" vertical="center"/>
    </xf>
    <xf numFmtId="164" fontId="3" fillId="13" borderId="81" xfId="0" applyNumberFormat="1" applyFont="1" applyFill="1" applyBorder="1" applyAlignment="1" applyProtection="1">
      <alignment horizontal="center" vertical="center"/>
    </xf>
    <xf numFmtId="164" fontId="3" fillId="13" borderId="200" xfId="0" applyNumberFormat="1" applyFont="1" applyFill="1" applyBorder="1" applyAlignment="1" applyProtection="1">
      <alignment horizontal="center" vertical="center"/>
    </xf>
    <xf numFmtId="164" fontId="10" fillId="9" borderId="201" xfId="0" applyNumberFormat="1" applyFont="1" applyFill="1" applyBorder="1" applyAlignment="1" applyProtection="1">
      <alignment horizontal="center" vertical="center"/>
    </xf>
    <xf numFmtId="0" fontId="3" fillId="0" borderId="203" xfId="0" applyFont="1" applyBorder="1" applyAlignment="1" applyProtection="1">
      <alignment horizontal="center" vertical="center" wrapText="1"/>
    </xf>
    <xf numFmtId="164" fontId="3" fillId="3" borderId="204" xfId="0" applyNumberFormat="1" applyFont="1" applyFill="1" applyBorder="1" applyAlignment="1" applyProtection="1">
      <alignment horizontal="center" vertical="center"/>
      <protection locked="0"/>
    </xf>
    <xf numFmtId="164" fontId="3" fillId="3" borderId="203" xfId="0" applyNumberFormat="1" applyFont="1" applyFill="1" applyBorder="1" applyAlignment="1" applyProtection="1">
      <alignment horizontal="center" vertical="center"/>
      <protection locked="0"/>
    </xf>
    <xf numFmtId="164" fontId="3" fillId="3" borderId="205" xfId="0" applyNumberFormat="1" applyFont="1" applyFill="1" applyBorder="1" applyAlignment="1" applyProtection="1">
      <alignment horizontal="center" vertical="center"/>
      <protection locked="0"/>
    </xf>
    <xf numFmtId="164" fontId="3" fillId="3" borderId="206" xfId="0" applyNumberFormat="1" applyFont="1" applyFill="1" applyBorder="1" applyAlignment="1" applyProtection="1">
      <alignment horizontal="center" vertical="center"/>
      <protection locked="0"/>
    </xf>
    <xf numFmtId="164" fontId="3" fillId="3" borderId="167" xfId="0" applyNumberFormat="1" applyFont="1" applyFill="1" applyBorder="1" applyAlignment="1" applyProtection="1">
      <alignment horizontal="center" vertical="center"/>
    </xf>
    <xf numFmtId="164" fontId="3" fillId="3" borderId="162" xfId="0" applyNumberFormat="1" applyFont="1" applyFill="1" applyBorder="1" applyAlignment="1" applyProtection="1">
      <alignment horizontal="center" vertical="center"/>
    </xf>
    <xf numFmtId="164" fontId="10" fillId="9" borderId="207" xfId="0" applyNumberFormat="1" applyFont="1" applyFill="1" applyBorder="1" applyAlignment="1" applyProtection="1">
      <alignment horizontal="center" vertical="center"/>
    </xf>
    <xf numFmtId="164" fontId="9" fillId="4" borderId="110" xfId="0" applyNumberFormat="1" applyFont="1" applyFill="1" applyBorder="1" applyAlignment="1" applyProtection="1">
      <alignment horizontal="center" vertical="center" wrapText="1"/>
    </xf>
    <xf numFmtId="0" fontId="2" fillId="0" borderId="158" xfId="0" applyFont="1" applyBorder="1" applyAlignment="1" applyProtection="1">
      <alignment horizontal="center" vertical="center"/>
    </xf>
    <xf numFmtId="164" fontId="2" fillId="0" borderId="73" xfId="0" applyNumberFormat="1" applyFont="1" applyBorder="1" applyAlignment="1" applyProtection="1">
      <alignment horizontal="center"/>
      <protection locked="0"/>
    </xf>
    <xf numFmtId="164" fontId="2" fillId="0" borderId="99" xfId="0" applyNumberFormat="1" applyFont="1" applyBorder="1" applyAlignment="1" applyProtection="1">
      <alignment horizontal="center"/>
      <protection locked="0"/>
    </xf>
    <xf numFmtId="0" fontId="9" fillId="0" borderId="99" xfId="0" applyFont="1" applyBorder="1" applyAlignment="1" applyProtection="1">
      <alignment horizontal="center" vertical="center"/>
      <protection locked="0"/>
    </xf>
    <xf numFmtId="0" fontId="2" fillId="0" borderId="159" xfId="0" applyFont="1" applyBorder="1" applyAlignment="1" applyProtection="1">
      <alignment horizontal="center" vertical="center"/>
    </xf>
    <xf numFmtId="0" fontId="2" fillId="0" borderId="70" xfId="0" applyFont="1" applyBorder="1" applyAlignment="1" applyProtection="1">
      <alignment horizontal="center" vertical="center"/>
    </xf>
    <xf numFmtId="164" fontId="2" fillId="0" borderId="63" xfId="0" applyNumberFormat="1" applyFont="1" applyBorder="1" applyAlignment="1" applyProtection="1">
      <alignment horizontal="center" vertical="center"/>
      <protection locked="0"/>
    </xf>
    <xf numFmtId="164" fontId="2" fillId="0" borderId="64" xfId="0" applyNumberFormat="1" applyFont="1" applyBorder="1" applyAlignment="1" applyProtection="1">
      <alignment horizontal="center" vertical="center"/>
      <protection locked="0"/>
    </xf>
    <xf numFmtId="164" fontId="2" fillId="0" borderId="55" xfId="0" applyNumberFormat="1" applyFont="1" applyBorder="1" applyAlignment="1" applyProtection="1">
      <alignment horizontal="center" vertical="center"/>
      <protection locked="0"/>
    </xf>
    <xf numFmtId="0" fontId="2" fillId="0" borderId="208" xfId="0" applyFont="1" applyBorder="1" applyAlignment="1" applyProtection="1">
      <alignment horizontal="center" vertical="center"/>
    </xf>
    <xf numFmtId="0" fontId="7" fillId="0" borderId="0" xfId="0" applyFont="1" applyBorder="1" applyAlignment="1" applyProtection="1">
      <alignment horizontal="right" vertical="center" wrapText="1" indent="1"/>
    </xf>
    <xf numFmtId="0" fontId="2" fillId="0" borderId="110" xfId="0" applyFont="1" applyBorder="1" applyAlignment="1" applyProtection="1">
      <alignment vertical="center"/>
      <protection locked="0"/>
    </xf>
    <xf numFmtId="164" fontId="2" fillId="0" borderId="2" xfId="0" applyNumberFormat="1" applyFont="1" applyBorder="1" applyAlignment="1" applyProtection="1">
      <alignment horizontal="center" vertical="center" wrapText="1"/>
    </xf>
    <xf numFmtId="14" fontId="2" fillId="0" borderId="3" xfId="0" applyNumberFormat="1" applyFont="1" applyBorder="1" applyAlignment="1" applyProtection="1">
      <alignment horizontal="center" vertical="center"/>
      <protection locked="0"/>
    </xf>
    <xf numFmtId="164" fontId="2" fillId="0" borderId="3" xfId="0" applyNumberFormat="1" applyFont="1" applyFill="1" applyBorder="1" applyAlignment="1" applyProtection="1">
      <alignment horizontal="center" vertical="center"/>
      <protection locked="0"/>
    </xf>
    <xf numFmtId="164" fontId="7" fillId="5" borderId="6" xfId="0" applyNumberFormat="1" applyFont="1" applyFill="1" applyBorder="1" applyAlignment="1" applyProtection="1">
      <alignment horizontal="center" vertical="center"/>
    </xf>
    <xf numFmtId="164" fontId="2" fillId="0" borderId="2" xfId="0" applyNumberFormat="1" applyFont="1" applyFill="1" applyBorder="1" applyAlignment="1" applyProtection="1">
      <alignment horizontal="center" vertical="center"/>
      <protection locked="0"/>
    </xf>
    <xf numFmtId="164" fontId="7" fillId="5" borderId="4" xfId="0" applyNumberFormat="1" applyFont="1" applyFill="1" applyBorder="1" applyAlignment="1" applyProtection="1">
      <alignment horizontal="center" vertical="center"/>
    </xf>
    <xf numFmtId="164" fontId="2" fillId="0" borderId="5" xfId="0" applyNumberFormat="1" applyFont="1" applyFill="1" applyBorder="1" applyAlignment="1" applyProtection="1">
      <alignment horizontal="center" vertical="center"/>
      <protection locked="0"/>
    </xf>
    <xf numFmtId="164" fontId="7" fillId="5" borderId="25" xfId="0" applyNumberFormat="1" applyFont="1" applyFill="1" applyBorder="1" applyAlignment="1" applyProtection="1">
      <alignment horizontal="center" vertical="center"/>
    </xf>
    <xf numFmtId="0" fontId="7" fillId="0" borderId="34" xfId="0" applyFont="1" applyBorder="1" applyAlignment="1" applyProtection="1">
      <alignment horizontal="center" vertical="center"/>
    </xf>
    <xf numFmtId="0" fontId="7" fillId="0" borderId="23" xfId="0" applyFont="1" applyBorder="1" applyAlignment="1" applyProtection="1">
      <alignment horizontal="center" vertical="center"/>
    </xf>
    <xf numFmtId="0" fontId="7" fillId="0" borderId="22" xfId="0" applyFont="1" applyBorder="1" applyAlignment="1" applyProtection="1">
      <alignment horizontal="center" vertical="center"/>
    </xf>
    <xf numFmtId="0" fontId="7" fillId="0" borderId="24" xfId="0" applyFont="1" applyBorder="1" applyAlignment="1" applyProtection="1">
      <alignment horizontal="center" vertical="center"/>
    </xf>
    <xf numFmtId="0" fontId="7" fillId="0" borderId="120" xfId="0" applyFont="1" applyBorder="1" applyAlignment="1" applyProtection="1">
      <alignment horizontal="center" vertical="center"/>
    </xf>
    <xf numFmtId="164" fontId="9" fillId="0" borderId="161" xfId="0" applyNumberFormat="1" applyFont="1" applyBorder="1" applyAlignment="1" applyProtection="1">
      <alignment horizontal="center" vertical="center"/>
      <protection locked="0"/>
    </xf>
    <xf numFmtId="164" fontId="9" fillId="0" borderId="68" xfId="0" applyNumberFormat="1" applyFont="1" applyBorder="1" applyAlignment="1" applyProtection="1">
      <alignment horizontal="center" vertical="center"/>
      <protection locked="0"/>
    </xf>
    <xf numFmtId="164" fontId="9" fillId="0" borderId="210" xfId="0" applyNumberFormat="1" applyFont="1" applyBorder="1" applyAlignment="1" applyProtection="1">
      <alignment horizontal="center" vertical="center"/>
    </xf>
    <xf numFmtId="2" fontId="9" fillId="0" borderId="210" xfId="0" applyNumberFormat="1" applyFont="1" applyBorder="1" applyAlignment="1" applyProtection="1">
      <alignment horizontal="center" vertical="center"/>
    </xf>
    <xf numFmtId="0" fontId="9" fillId="0" borderId="162" xfId="0" applyFont="1" applyBorder="1" applyAlignment="1" applyProtection="1">
      <alignment horizontal="center" vertical="center"/>
      <protection locked="0"/>
    </xf>
    <xf numFmtId="164" fontId="8" fillId="10" borderId="70" xfId="0" applyNumberFormat="1" applyFont="1" applyFill="1" applyBorder="1" applyAlignment="1" applyProtection="1">
      <alignment horizontal="center" vertical="center"/>
    </xf>
    <xf numFmtId="0" fontId="8" fillId="0" borderId="61" xfId="0" applyFont="1" applyBorder="1" applyAlignment="1" applyProtection="1">
      <alignment horizontal="center" vertical="center"/>
    </xf>
    <xf numFmtId="164" fontId="8" fillId="0" borderId="211" xfId="0" applyNumberFormat="1" applyFont="1" applyFill="1" applyBorder="1" applyAlignment="1" applyProtection="1">
      <alignment horizontal="center" vertical="center"/>
    </xf>
    <xf numFmtId="164" fontId="7" fillId="19" borderId="180" xfId="0" applyNumberFormat="1" applyFont="1" applyFill="1" applyBorder="1" applyAlignment="1">
      <alignment horizontal="center" vertical="center"/>
    </xf>
    <xf numFmtId="164" fontId="7" fillId="19" borderId="209" xfId="0" applyNumberFormat="1" applyFont="1" applyFill="1" applyBorder="1" applyAlignment="1">
      <alignment horizontal="center" vertical="center"/>
    </xf>
    <xf numFmtId="164" fontId="7" fillId="19" borderId="75" xfId="0" applyNumberFormat="1" applyFont="1" applyFill="1" applyBorder="1" applyAlignment="1">
      <alignment horizontal="center" vertical="center"/>
    </xf>
    <xf numFmtId="0" fontId="3" fillId="3" borderId="51" xfId="0" applyFont="1" applyFill="1" applyBorder="1" applyAlignment="1" applyProtection="1">
      <alignment horizontal="center" vertical="center"/>
    </xf>
    <xf numFmtId="0" fontId="3" fillId="3" borderId="77" xfId="0" applyFont="1" applyFill="1" applyBorder="1" applyAlignment="1" applyProtection="1">
      <alignment horizontal="center" vertical="center"/>
    </xf>
    <xf numFmtId="0" fontId="3" fillId="3" borderId="78" xfId="0" applyFont="1" applyFill="1" applyBorder="1" applyAlignment="1" applyProtection="1">
      <alignment horizontal="center" vertical="center"/>
    </xf>
    <xf numFmtId="0" fontId="3" fillId="3" borderId="51" xfId="0" applyFont="1" applyFill="1" applyBorder="1" applyAlignment="1" applyProtection="1">
      <alignment horizontal="center" vertical="center" wrapText="1"/>
    </xf>
    <xf numFmtId="0" fontId="3" fillId="3" borderId="77" xfId="0" applyFont="1" applyFill="1" applyBorder="1" applyAlignment="1" applyProtection="1">
      <alignment horizontal="center" vertical="center" wrapText="1"/>
    </xf>
    <xf numFmtId="0" fontId="3" fillId="3" borderId="78" xfId="0" applyFont="1" applyFill="1" applyBorder="1" applyAlignment="1" applyProtection="1">
      <alignment horizontal="center" vertical="center" wrapText="1"/>
    </xf>
    <xf numFmtId="0" fontId="8" fillId="9" borderId="215" xfId="0" applyFont="1" applyFill="1" applyBorder="1" applyAlignment="1" applyProtection="1">
      <alignment horizontal="center" vertical="center"/>
    </xf>
    <xf numFmtId="0" fontId="8" fillId="9" borderId="214" xfId="0" applyFont="1" applyFill="1" applyBorder="1" applyAlignment="1" applyProtection="1">
      <alignment horizontal="center" vertical="center"/>
    </xf>
    <xf numFmtId="14" fontId="2" fillId="8" borderId="30" xfId="0" applyNumberFormat="1" applyFont="1" applyFill="1" applyBorder="1" applyAlignment="1" applyProtection="1">
      <alignment horizontal="center" vertical="center" wrapText="1"/>
      <protection locked="0"/>
    </xf>
    <xf numFmtId="14" fontId="2" fillId="5" borderId="9" xfId="0" applyNumberFormat="1" applyFont="1" applyFill="1" applyBorder="1" applyAlignment="1" applyProtection="1">
      <alignment horizontal="center" vertical="center"/>
      <protection locked="0"/>
    </xf>
    <xf numFmtId="164" fontId="2" fillId="0" borderId="126" xfId="0" applyNumberFormat="1" applyFont="1" applyBorder="1" applyAlignment="1" applyProtection="1">
      <alignment horizontal="left" vertical="center" indent="1"/>
      <protection locked="0"/>
    </xf>
    <xf numFmtId="164" fontId="2" fillId="0" borderId="118" xfId="0" applyNumberFormat="1" applyFont="1" applyBorder="1" applyAlignment="1" applyProtection="1">
      <alignment horizontal="left" vertical="center" indent="1"/>
      <protection locked="0"/>
    </xf>
    <xf numFmtId="164" fontId="2" fillId="0" borderId="64" xfId="0" applyNumberFormat="1" applyFont="1" applyBorder="1" applyAlignment="1" applyProtection="1">
      <alignment horizontal="left" vertical="center" indent="1"/>
      <protection locked="0"/>
    </xf>
    <xf numFmtId="164" fontId="2" fillId="0" borderId="126" xfId="0" applyNumberFormat="1" applyFont="1" applyBorder="1" applyAlignment="1" applyProtection="1">
      <alignment horizontal="left" vertical="center" indent="1"/>
      <protection locked="0"/>
    </xf>
    <xf numFmtId="164" fontId="2" fillId="0" borderId="118" xfId="0" applyNumberFormat="1" applyFont="1" applyBorder="1" applyAlignment="1" applyProtection="1">
      <alignment horizontal="left" vertical="center" indent="1"/>
      <protection locked="0"/>
    </xf>
    <xf numFmtId="164" fontId="2" fillId="0" borderId="64" xfId="0" applyNumberFormat="1" applyFont="1" applyBorder="1" applyAlignment="1" applyProtection="1">
      <alignment horizontal="left" vertical="center" indent="1"/>
      <protection locked="0"/>
    </xf>
    <xf numFmtId="164" fontId="9" fillId="0" borderId="126" xfId="0" applyNumberFormat="1" applyFont="1" applyBorder="1" applyAlignment="1" applyProtection="1">
      <alignment horizontal="left" vertical="center"/>
      <protection locked="0"/>
    </xf>
    <xf numFmtId="164" fontId="9" fillId="0" borderId="192" xfId="0" applyNumberFormat="1" applyFont="1" applyBorder="1" applyAlignment="1" applyProtection="1">
      <alignment horizontal="left" vertical="center"/>
      <protection locked="0"/>
    </xf>
    <xf numFmtId="164" fontId="2" fillId="0" borderId="126" xfId="0" applyNumberFormat="1" applyFont="1" applyBorder="1" applyAlignment="1" applyProtection="1">
      <alignment horizontal="left" vertical="center" indent="1"/>
      <protection locked="0"/>
    </xf>
    <xf numFmtId="164" fontId="2" fillId="0" borderId="118" xfId="0" applyNumberFormat="1" applyFont="1" applyBorder="1" applyAlignment="1" applyProtection="1">
      <alignment horizontal="left" vertical="center" indent="1"/>
      <protection locked="0"/>
    </xf>
    <xf numFmtId="164" fontId="2" fillId="0" borderId="64" xfId="0" applyNumberFormat="1" applyFont="1" applyBorder="1" applyAlignment="1" applyProtection="1">
      <alignment horizontal="left" vertical="center" indent="1"/>
      <protection locked="0"/>
    </xf>
    <xf numFmtId="164" fontId="2" fillId="20" borderId="7" xfId="0" applyNumberFormat="1" applyFont="1" applyFill="1" applyBorder="1" applyAlignment="1" applyProtection="1">
      <alignment horizontal="center" vertical="center"/>
      <protection locked="0"/>
    </xf>
    <xf numFmtId="164" fontId="2" fillId="20" borderId="8" xfId="0" applyNumberFormat="1" applyFont="1" applyFill="1" applyBorder="1" applyAlignment="1" applyProtection="1">
      <alignment horizontal="center" vertical="center"/>
      <protection locked="0"/>
    </xf>
    <xf numFmtId="164" fontId="2" fillId="20" borderId="7" xfId="0" applyNumberFormat="1" applyFont="1" applyFill="1" applyBorder="1" applyAlignment="1" applyProtection="1">
      <alignment horizontal="center" vertical="center"/>
    </xf>
    <xf numFmtId="164" fontId="2" fillId="20" borderId="8" xfId="0" applyNumberFormat="1" applyFont="1" applyFill="1" applyBorder="1" applyAlignment="1" applyProtection="1">
      <alignment horizontal="center" vertical="center"/>
    </xf>
    <xf numFmtId="164" fontId="3" fillId="21" borderId="41" xfId="0" applyNumberFormat="1" applyFont="1" applyFill="1" applyBorder="1" applyAlignment="1" applyProtection="1">
      <alignment horizontal="center" vertical="center"/>
      <protection locked="0"/>
    </xf>
    <xf numFmtId="164" fontId="2" fillId="20" borderId="12" xfId="0" applyNumberFormat="1" applyFont="1" applyFill="1" applyBorder="1" applyAlignment="1" applyProtection="1">
      <alignment horizontal="center" vertical="center"/>
      <protection locked="0"/>
    </xf>
    <xf numFmtId="164" fontId="2" fillId="20" borderId="13" xfId="0" applyNumberFormat="1" applyFont="1" applyFill="1" applyBorder="1" applyAlignment="1" applyProtection="1">
      <alignment horizontal="center" vertical="center"/>
      <protection locked="0"/>
    </xf>
    <xf numFmtId="164" fontId="3" fillId="20" borderId="81" xfId="0" applyNumberFormat="1" applyFont="1" applyFill="1" applyBorder="1" applyAlignment="1" applyProtection="1">
      <alignment horizontal="center" vertical="center"/>
      <protection locked="0"/>
    </xf>
    <xf numFmtId="164" fontId="3" fillId="20" borderId="38" xfId="0" applyNumberFormat="1" applyFont="1" applyFill="1" applyBorder="1" applyAlignment="1" applyProtection="1">
      <alignment horizontal="center" vertical="center"/>
      <protection locked="0"/>
    </xf>
    <xf numFmtId="164" fontId="3" fillId="20" borderId="39" xfId="0" applyNumberFormat="1" applyFont="1" applyFill="1" applyBorder="1" applyAlignment="1" applyProtection="1">
      <alignment horizontal="center" vertical="center"/>
      <protection locked="0"/>
    </xf>
    <xf numFmtId="164" fontId="9" fillId="20" borderId="63" xfId="0" applyNumberFormat="1" applyFont="1" applyFill="1" applyBorder="1" applyAlignment="1" applyProtection="1">
      <alignment horizontal="center" vertical="center"/>
      <protection locked="0"/>
    </xf>
    <xf numFmtId="164" fontId="2" fillId="20" borderId="22" xfId="0" applyNumberFormat="1" applyFont="1" applyFill="1" applyBorder="1" applyAlignment="1" applyProtection="1">
      <alignment horizontal="center" vertical="center"/>
    </xf>
    <xf numFmtId="164" fontId="2" fillId="20" borderId="34" xfId="0" applyNumberFormat="1" applyFont="1" applyFill="1" applyBorder="1" applyAlignment="1" applyProtection="1">
      <alignment horizontal="center" vertical="center"/>
    </xf>
    <xf numFmtId="164" fontId="3" fillId="21" borderId="35" xfId="0" applyNumberFormat="1" applyFont="1" applyFill="1" applyBorder="1" applyAlignment="1" applyProtection="1">
      <alignment horizontal="center" vertical="center"/>
      <protection locked="0"/>
    </xf>
    <xf numFmtId="164" fontId="10" fillId="22" borderId="47" xfId="0" applyNumberFormat="1" applyFont="1" applyFill="1" applyBorder="1" applyAlignment="1" applyProtection="1">
      <alignment horizontal="center" vertical="center"/>
    </xf>
    <xf numFmtId="164" fontId="10" fillId="22" borderId="80" xfId="0" applyNumberFormat="1" applyFont="1" applyFill="1" applyBorder="1" applyAlignment="1" applyProtection="1">
      <alignment horizontal="center" vertical="center"/>
    </xf>
    <xf numFmtId="164" fontId="8" fillId="23" borderId="59" xfId="0" applyNumberFormat="1" applyFont="1" applyFill="1" applyBorder="1" applyAlignment="1" applyProtection="1">
      <alignment horizontal="center" vertical="center"/>
    </xf>
    <xf numFmtId="164" fontId="10" fillId="22" borderId="48" xfId="0" applyNumberFormat="1" applyFont="1" applyFill="1" applyBorder="1" applyAlignment="1" applyProtection="1">
      <alignment horizontal="center" vertical="center"/>
    </xf>
    <xf numFmtId="0" fontId="2" fillId="5" borderId="110" xfId="0" applyNumberFormat="1" applyFont="1" applyFill="1" applyBorder="1" applyAlignment="1" applyProtection="1">
      <alignment horizontal="center" vertical="center"/>
    </xf>
    <xf numFmtId="0" fontId="7" fillId="0" borderId="0" xfId="0" applyFont="1" applyAlignment="1" applyProtection="1">
      <alignment horizontal="center" vertical="center"/>
    </xf>
    <xf numFmtId="0" fontId="7" fillId="0" borderId="0" xfId="0" applyFont="1" applyFill="1" applyBorder="1" applyAlignment="1" applyProtection="1">
      <alignment horizontal="left" vertical="center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2" fillId="0" borderId="110" xfId="0" applyFont="1" applyBorder="1" applyAlignment="1" applyProtection="1">
      <alignment horizontal="center" vertical="center"/>
      <protection locked="0"/>
    </xf>
    <xf numFmtId="0" fontId="2" fillId="0" borderId="0" xfId="0" applyFont="1" applyFill="1" applyBorder="1" applyAlignment="1" applyProtection="1">
      <alignment horizontal="left" vertical="center" indent="2"/>
    </xf>
    <xf numFmtId="0" fontId="2" fillId="0" borderId="114" xfId="0" applyFont="1" applyFill="1" applyBorder="1" applyAlignment="1" applyProtection="1">
      <alignment horizontal="center" vertical="center"/>
      <protection locked="0"/>
    </xf>
    <xf numFmtId="0" fontId="2" fillId="0" borderId="115" xfId="0" applyFont="1" applyBorder="1" applyAlignment="1" applyProtection="1">
      <alignment horizontal="center" vertical="center" wrapText="1"/>
    </xf>
    <xf numFmtId="0" fontId="2" fillId="5" borderId="28" xfId="0" applyFont="1" applyFill="1" applyBorder="1" applyAlignment="1" applyProtection="1">
      <alignment horizontal="center" vertical="center"/>
    </xf>
    <xf numFmtId="0" fontId="7" fillId="0" borderId="28" xfId="0" applyFont="1" applyBorder="1" applyAlignment="1" applyProtection="1">
      <alignment horizontal="center" vertical="center" wrapText="1"/>
    </xf>
    <xf numFmtId="0" fontId="7" fillId="0" borderId="50" xfId="0" applyFont="1" applyBorder="1" applyAlignment="1" applyProtection="1">
      <alignment horizontal="center" vertical="center" wrapText="1"/>
    </xf>
    <xf numFmtId="0" fontId="7" fillId="0" borderId="111" xfId="0" applyFont="1" applyBorder="1" applyAlignment="1" applyProtection="1">
      <alignment horizontal="center" vertical="center" wrapText="1"/>
    </xf>
    <xf numFmtId="0" fontId="7" fillId="0" borderId="112" xfId="0" applyFont="1" applyBorder="1" applyAlignment="1" applyProtection="1">
      <alignment horizontal="center" vertical="center" wrapText="1"/>
    </xf>
    <xf numFmtId="0" fontId="2" fillId="0" borderId="110" xfId="0" applyFont="1" applyBorder="1" applyAlignment="1" applyProtection="1">
      <alignment horizontal="center" vertical="center"/>
    </xf>
    <xf numFmtId="0" fontId="2" fillId="0" borderId="118" xfId="0" applyFont="1" applyBorder="1" applyAlignment="1" applyProtection="1">
      <alignment horizontal="center" vertical="center"/>
    </xf>
    <xf numFmtId="0" fontId="7" fillId="0" borderId="54" xfId="0" applyFont="1" applyBorder="1" applyAlignment="1" applyProtection="1">
      <alignment horizontal="center" vertical="center" wrapText="1"/>
    </xf>
    <xf numFmtId="0" fontId="7" fillId="0" borderId="27" xfId="0" applyFont="1" applyBorder="1" applyAlignment="1" applyProtection="1">
      <alignment horizontal="center" vertical="center" wrapText="1"/>
    </xf>
    <xf numFmtId="0" fontId="9" fillId="0" borderId="106" xfId="3" applyFont="1" applyFill="1" applyBorder="1" applyAlignment="1" applyProtection="1">
      <alignment horizontal="center" vertical="center"/>
      <protection locked="0"/>
    </xf>
    <xf numFmtId="3" fontId="2" fillId="0" borderId="106" xfId="0" applyNumberFormat="1" applyFont="1" applyFill="1" applyBorder="1" applyAlignment="1" applyProtection="1">
      <alignment horizontal="center" vertical="center"/>
      <protection locked="0"/>
    </xf>
    <xf numFmtId="0" fontId="2" fillId="0" borderId="106" xfId="0" applyFont="1" applyFill="1" applyBorder="1" applyAlignment="1" applyProtection="1">
      <alignment horizontal="center" vertical="center"/>
      <protection locked="0"/>
    </xf>
    <xf numFmtId="0" fontId="2" fillId="0" borderId="0" xfId="0" applyFont="1" applyFill="1" applyBorder="1" applyAlignment="1" applyProtection="1">
      <alignment horizontal="left" vertical="center" indent="4"/>
    </xf>
    <xf numFmtId="0" fontId="7" fillId="0" borderId="0" xfId="0" applyFont="1" applyAlignment="1" applyProtection="1">
      <alignment horizontal="center" vertical="center"/>
    </xf>
    <xf numFmtId="0" fontId="7" fillId="0" borderId="30" xfId="0" applyFont="1" applyBorder="1" applyAlignment="1" applyProtection="1">
      <alignment horizontal="center" vertical="center"/>
    </xf>
    <xf numFmtId="0" fontId="7" fillId="0" borderId="121" xfId="0" applyFont="1" applyBorder="1" applyAlignment="1" applyProtection="1">
      <alignment horizontal="center" vertical="center"/>
    </xf>
    <xf numFmtId="49" fontId="2" fillId="5" borderId="114" xfId="0" applyNumberFormat="1" applyFont="1" applyFill="1" applyBorder="1" applyAlignment="1" applyProtection="1">
      <alignment horizontal="center" vertical="center"/>
      <protection locked="0"/>
    </xf>
    <xf numFmtId="0" fontId="7" fillId="0" borderId="0" xfId="0" applyFont="1" applyBorder="1" applyAlignment="1" applyProtection="1">
      <alignment horizontal="right" vertical="center" wrapText="1" indent="2"/>
    </xf>
    <xf numFmtId="0" fontId="7" fillId="0" borderId="0" xfId="0" applyFont="1" applyBorder="1" applyAlignment="1" applyProtection="1">
      <alignment horizontal="right" vertical="center" indent="2"/>
    </xf>
    <xf numFmtId="0" fontId="2" fillId="0" borderId="26" xfId="0" applyFont="1" applyBorder="1" applyAlignment="1" applyProtection="1">
      <alignment horizontal="center" vertical="center"/>
    </xf>
    <xf numFmtId="0" fontId="7" fillId="0" borderId="31" xfId="0" applyFont="1" applyBorder="1" applyAlignment="1" applyProtection="1">
      <alignment horizontal="center" vertical="center"/>
    </xf>
    <xf numFmtId="0" fontId="7" fillId="0" borderId="176" xfId="0" applyFont="1" applyBorder="1" applyAlignment="1" applyProtection="1">
      <alignment horizontal="center" vertical="center"/>
    </xf>
    <xf numFmtId="0" fontId="7" fillId="0" borderId="122" xfId="0" applyFont="1" applyBorder="1" applyAlignment="1" applyProtection="1">
      <alignment horizontal="center" vertical="center"/>
    </xf>
    <xf numFmtId="0" fontId="7" fillId="0" borderId="22" xfId="0" applyFont="1" applyBorder="1" applyAlignment="1" applyProtection="1">
      <alignment horizontal="center" vertical="center"/>
    </xf>
    <xf numFmtId="0" fontId="7" fillId="0" borderId="34" xfId="0" applyFont="1" applyBorder="1" applyAlignment="1" applyProtection="1">
      <alignment horizontal="center" vertical="center"/>
    </xf>
    <xf numFmtId="0" fontId="2" fillId="0" borderId="24" xfId="0" applyFont="1" applyBorder="1" applyAlignment="1" applyProtection="1">
      <alignment horizontal="center" vertical="center"/>
    </xf>
    <xf numFmtId="0" fontId="7" fillId="0" borderId="0" xfId="0" applyFont="1" applyBorder="1" applyAlignment="1" applyProtection="1">
      <alignment horizontal="center" vertical="center"/>
    </xf>
    <xf numFmtId="0" fontId="7" fillId="0" borderId="107" xfId="0" applyFont="1" applyBorder="1" applyAlignment="1" applyProtection="1">
      <alignment horizontal="center" vertical="center" wrapText="1"/>
    </xf>
    <xf numFmtId="0" fontId="7" fillId="0" borderId="108" xfId="0" applyFont="1" applyBorder="1" applyAlignment="1" applyProtection="1">
      <alignment horizontal="center" vertical="center" wrapText="1"/>
    </xf>
    <xf numFmtId="0" fontId="7" fillId="0" borderId="109" xfId="0" applyFont="1" applyBorder="1" applyAlignment="1" applyProtection="1">
      <alignment horizontal="center" vertical="center" wrapText="1"/>
    </xf>
    <xf numFmtId="0" fontId="2" fillId="5" borderId="110" xfId="0" applyFont="1" applyFill="1" applyBorder="1" applyAlignment="1" applyProtection="1">
      <alignment horizontal="center" vertical="center"/>
      <protection locked="0"/>
    </xf>
    <xf numFmtId="0" fontId="2" fillId="5" borderId="110" xfId="0" applyFont="1" applyFill="1" applyBorder="1" applyAlignment="1" applyProtection="1">
      <alignment horizontal="center" vertical="center" wrapText="1"/>
      <protection locked="0"/>
    </xf>
    <xf numFmtId="0" fontId="7" fillId="15" borderId="1" xfId="0" applyFont="1" applyFill="1" applyBorder="1" applyAlignment="1" applyProtection="1">
      <alignment horizontal="center" vertical="center"/>
    </xf>
    <xf numFmtId="0" fontId="7" fillId="15" borderId="119" xfId="0" applyFont="1" applyFill="1" applyBorder="1" applyAlignment="1" applyProtection="1">
      <alignment horizontal="center" vertical="center"/>
    </xf>
    <xf numFmtId="0" fontId="7" fillId="0" borderId="50" xfId="0" applyFont="1" applyBorder="1" applyAlignment="1" applyProtection="1">
      <alignment horizontal="center" vertical="center"/>
    </xf>
    <xf numFmtId="0" fontId="7" fillId="0" borderId="111" xfId="0" applyFont="1" applyBorder="1" applyAlignment="1" applyProtection="1">
      <alignment horizontal="center" vertical="center"/>
    </xf>
    <xf numFmtId="0" fontId="7" fillId="0" borderId="112" xfId="0" applyFont="1" applyBorder="1" applyAlignment="1" applyProtection="1">
      <alignment horizontal="center" vertical="center"/>
    </xf>
    <xf numFmtId="0" fontId="7" fillId="0" borderId="113" xfId="0" applyFont="1" applyBorder="1" applyAlignment="1" applyProtection="1">
      <alignment horizontal="center" vertical="center" wrapText="1"/>
    </xf>
    <xf numFmtId="0" fontId="7" fillId="0" borderId="116" xfId="0" applyFont="1" applyBorder="1" applyAlignment="1" applyProtection="1">
      <alignment horizontal="center" vertical="center" wrapText="1"/>
    </xf>
    <xf numFmtId="0" fontId="7" fillId="0" borderId="117" xfId="0" applyFont="1" applyBorder="1" applyAlignment="1" applyProtection="1">
      <alignment horizontal="center" vertical="center" wrapText="1"/>
    </xf>
    <xf numFmtId="0" fontId="7" fillId="0" borderId="54" xfId="0" applyFont="1" applyBorder="1" applyAlignment="1" applyProtection="1">
      <alignment horizontal="center" vertical="center"/>
    </xf>
    <xf numFmtId="0" fontId="2" fillId="5" borderId="118" xfId="0" applyFont="1" applyFill="1" applyBorder="1" applyAlignment="1" applyProtection="1">
      <alignment horizontal="center" vertical="center"/>
      <protection locked="0"/>
    </xf>
    <xf numFmtId="0" fontId="9" fillId="0" borderId="106" xfId="3" applyFont="1" applyFill="1" applyBorder="1" applyAlignment="1" applyProtection="1">
      <alignment horizontal="center" vertical="center"/>
    </xf>
    <xf numFmtId="0" fontId="2" fillId="0" borderId="106" xfId="0" applyFont="1" applyFill="1" applyBorder="1" applyAlignment="1" applyProtection="1">
      <alignment horizontal="center" vertical="center"/>
    </xf>
    <xf numFmtId="0" fontId="2" fillId="0" borderId="0" xfId="0" applyFont="1" applyFill="1" applyBorder="1" applyAlignment="1" applyProtection="1">
      <alignment horizontal="left" vertical="center" indent="5"/>
    </xf>
    <xf numFmtId="0" fontId="2" fillId="8" borderId="11" xfId="0" applyFont="1" applyFill="1" applyBorder="1" applyAlignment="1" applyProtection="1">
      <alignment horizontal="center" vertical="center" wrapText="1"/>
      <protection locked="0"/>
    </xf>
    <xf numFmtId="0" fontId="2" fillId="8" borderId="10" xfId="0" applyFont="1" applyFill="1" applyBorder="1" applyAlignment="1" applyProtection="1">
      <alignment horizontal="center" vertical="center" wrapText="1"/>
      <protection locked="0"/>
    </xf>
    <xf numFmtId="0" fontId="2" fillId="8" borderId="23" xfId="0" applyFont="1" applyFill="1" applyBorder="1" applyAlignment="1" applyProtection="1">
      <alignment horizontal="center" vertical="center" wrapText="1"/>
      <protection locked="0"/>
    </xf>
    <xf numFmtId="0" fontId="2" fillId="8" borderId="120" xfId="0" applyFont="1" applyFill="1" applyBorder="1" applyAlignment="1" applyProtection="1">
      <alignment horizontal="center" vertical="center" wrapText="1"/>
      <protection locked="0"/>
    </xf>
    <xf numFmtId="0" fontId="2" fillId="8" borderId="106" xfId="0" applyFont="1" applyFill="1" applyBorder="1" applyAlignment="1" applyProtection="1">
      <alignment horizontal="center" vertical="center" wrapText="1"/>
      <protection locked="0"/>
    </xf>
    <xf numFmtId="0" fontId="2" fillId="0" borderId="114" xfId="0" applyFont="1" applyFill="1" applyBorder="1" applyAlignment="1" applyProtection="1">
      <alignment horizontal="center" vertical="center"/>
    </xf>
    <xf numFmtId="0" fontId="2" fillId="8" borderId="6" xfId="0" applyFont="1" applyFill="1" applyBorder="1" applyAlignment="1" applyProtection="1">
      <alignment horizontal="center" vertical="center" wrapText="1"/>
      <protection locked="0"/>
    </xf>
    <xf numFmtId="0" fontId="2" fillId="8" borderId="114" xfId="0" applyFont="1" applyFill="1" applyBorder="1" applyAlignment="1" applyProtection="1">
      <alignment horizontal="center" vertical="center" wrapText="1"/>
      <protection locked="0"/>
    </xf>
    <xf numFmtId="0" fontId="2" fillId="8" borderId="5" xfId="0" applyFont="1" applyFill="1" applyBorder="1" applyAlignment="1" applyProtection="1">
      <alignment horizontal="center" vertical="center" wrapText="1"/>
      <protection locked="0"/>
    </xf>
    <xf numFmtId="14" fontId="2" fillId="8" borderId="11" xfId="0" applyNumberFormat="1" applyFont="1" applyFill="1" applyBorder="1" applyAlignment="1" applyProtection="1">
      <alignment horizontal="center" vertical="center" wrapText="1"/>
      <protection locked="0"/>
    </xf>
    <xf numFmtId="0" fontId="2" fillId="8" borderId="218" xfId="0" applyFont="1" applyFill="1" applyBorder="1" applyAlignment="1" applyProtection="1">
      <alignment horizontal="center" vertical="center" wrapText="1"/>
      <protection locked="0"/>
    </xf>
    <xf numFmtId="0" fontId="2" fillId="8" borderId="123" xfId="0" applyFont="1" applyFill="1" applyBorder="1" applyAlignment="1" applyProtection="1">
      <alignment horizontal="center" vertical="center" wrapText="1"/>
      <protection locked="0"/>
    </xf>
    <xf numFmtId="0" fontId="2" fillId="8" borderId="124" xfId="0" applyFont="1" applyFill="1" applyBorder="1" applyAlignment="1" applyProtection="1">
      <alignment horizontal="center" vertical="center" wrapText="1"/>
      <protection locked="0"/>
    </xf>
    <xf numFmtId="0" fontId="7" fillId="0" borderId="0" xfId="0" applyFont="1" applyFill="1" applyBorder="1" applyAlignment="1" applyProtection="1">
      <alignment horizontal="left" vertical="center"/>
    </xf>
    <xf numFmtId="0" fontId="7" fillId="2" borderId="21" xfId="0" applyFont="1" applyFill="1" applyBorder="1" applyAlignment="1" applyProtection="1">
      <alignment horizontal="center" vertical="center" wrapText="1"/>
    </xf>
    <xf numFmtId="0" fontId="7" fillId="2" borderId="20" xfId="0" applyFont="1" applyFill="1" applyBorder="1" applyAlignment="1" applyProtection="1">
      <alignment horizontal="center" vertical="center" wrapText="1"/>
    </xf>
    <xf numFmtId="0" fontId="7" fillId="2" borderId="123" xfId="0" applyFont="1" applyFill="1" applyBorder="1" applyAlignment="1" applyProtection="1">
      <alignment horizontal="center" vertical="center" wrapText="1"/>
    </xf>
    <xf numFmtId="0" fontId="7" fillId="2" borderId="124" xfId="0" applyFont="1" applyFill="1" applyBorder="1" applyAlignment="1" applyProtection="1">
      <alignment horizontal="center" vertical="center" wrapText="1"/>
    </xf>
    <xf numFmtId="0" fontId="7" fillId="2" borderId="111" xfId="0" applyFont="1" applyFill="1" applyBorder="1" applyAlignment="1" applyProtection="1">
      <alignment horizontal="center" vertical="center" wrapText="1"/>
    </xf>
    <xf numFmtId="0" fontId="2" fillId="8" borderId="177" xfId="0" applyFont="1" applyFill="1" applyBorder="1" applyAlignment="1" applyProtection="1">
      <alignment horizontal="center" vertical="center" wrapText="1"/>
      <protection locked="0"/>
    </xf>
    <xf numFmtId="0" fontId="2" fillId="8" borderId="178" xfId="0" applyFont="1" applyFill="1" applyBorder="1" applyAlignment="1" applyProtection="1">
      <alignment horizontal="center" vertical="center" wrapText="1"/>
      <protection locked="0"/>
    </xf>
    <xf numFmtId="0" fontId="2" fillId="8" borderId="108" xfId="0" applyFont="1" applyFill="1" applyBorder="1" applyAlignment="1" applyProtection="1">
      <alignment horizontal="center" vertical="center" wrapText="1"/>
      <protection locked="0"/>
    </xf>
    <xf numFmtId="14" fontId="2" fillId="8" borderId="6" xfId="0" applyNumberFormat="1" applyFont="1" applyFill="1" applyBorder="1" applyAlignment="1" applyProtection="1">
      <alignment horizontal="center" vertical="center" wrapText="1"/>
      <protection locked="0"/>
    </xf>
    <xf numFmtId="0" fontId="7" fillId="5" borderId="110" xfId="0" applyFont="1" applyFill="1" applyBorder="1" applyAlignment="1" applyProtection="1">
      <alignment horizontal="center" vertical="center"/>
    </xf>
    <xf numFmtId="0" fontId="7" fillId="5" borderId="110" xfId="0" applyFont="1" applyFill="1" applyBorder="1" applyAlignment="1" applyProtection="1">
      <alignment horizontal="center" vertical="center" wrapText="1"/>
    </xf>
    <xf numFmtId="0" fontId="7" fillId="5" borderId="118" xfId="0" applyFont="1" applyFill="1" applyBorder="1" applyAlignment="1" applyProtection="1">
      <alignment horizontal="center" vertical="center"/>
    </xf>
    <xf numFmtId="0" fontId="7" fillId="5" borderId="125" xfId="0" applyNumberFormat="1" applyFont="1" applyFill="1" applyBorder="1" applyAlignment="1" applyProtection="1">
      <alignment horizontal="center" vertical="center"/>
    </xf>
    <xf numFmtId="0" fontId="7" fillId="0" borderId="0" xfId="0" applyFont="1" applyAlignment="1" applyProtection="1">
      <alignment horizontal="center" vertical="center" wrapText="1"/>
    </xf>
    <xf numFmtId="0" fontId="2" fillId="0" borderId="0" xfId="0" applyFont="1" applyFill="1" applyBorder="1" applyAlignment="1" applyProtection="1">
      <alignment horizontal="left" vertical="center" indent="3"/>
    </xf>
    <xf numFmtId="0" fontId="8" fillId="11" borderId="61" xfId="0" applyFont="1" applyFill="1" applyBorder="1" applyAlignment="1" applyProtection="1">
      <alignment horizontal="center" vertical="center" wrapText="1"/>
    </xf>
    <xf numFmtId="0" fontId="8" fillId="11" borderId="75" xfId="0" applyFont="1" applyFill="1" applyBorder="1" applyAlignment="1" applyProtection="1">
      <alignment horizontal="center" vertical="center"/>
    </xf>
    <xf numFmtId="0" fontId="8" fillId="11" borderId="61" xfId="0" applyFont="1" applyFill="1" applyBorder="1" applyAlignment="1" applyProtection="1">
      <alignment horizontal="center" vertical="center"/>
    </xf>
    <xf numFmtId="0" fontId="7" fillId="11" borderId="61" xfId="0" applyFont="1" applyFill="1" applyBorder="1" applyAlignment="1" applyProtection="1">
      <alignment horizontal="center" vertical="center"/>
    </xf>
    <xf numFmtId="0" fontId="8" fillId="11" borderId="129" xfId="0" applyFont="1" applyFill="1" applyBorder="1" applyAlignment="1" applyProtection="1">
      <alignment horizontal="center" vertical="center" wrapText="1"/>
    </xf>
    <xf numFmtId="0" fontId="8" fillId="11" borderId="130" xfId="0" applyFont="1" applyFill="1" applyBorder="1" applyAlignment="1" applyProtection="1">
      <alignment horizontal="center" vertical="center" wrapText="1"/>
    </xf>
    <xf numFmtId="0" fontId="8" fillId="11" borderId="179" xfId="0" applyFont="1" applyFill="1" applyBorder="1" applyAlignment="1" applyProtection="1">
      <alignment horizontal="center" vertical="center" wrapText="1"/>
    </xf>
    <xf numFmtId="0" fontId="8" fillId="11" borderId="131" xfId="0" applyFont="1" applyFill="1" applyBorder="1" applyAlignment="1" applyProtection="1">
      <alignment horizontal="center" vertical="center" wrapText="1"/>
    </xf>
    <xf numFmtId="0" fontId="8" fillId="11" borderId="132" xfId="0" applyFont="1" applyFill="1" applyBorder="1" applyAlignment="1" applyProtection="1">
      <alignment horizontal="center" vertical="center" wrapText="1"/>
    </xf>
    <xf numFmtId="0" fontId="8" fillId="11" borderId="168" xfId="0" applyFont="1" applyFill="1" applyBorder="1" applyAlignment="1" applyProtection="1">
      <alignment horizontal="center" vertical="center" wrapText="1"/>
    </xf>
    <xf numFmtId="0" fontId="8" fillId="0" borderId="67" xfId="0" applyFont="1" applyBorder="1" applyAlignment="1" applyProtection="1">
      <alignment horizontal="center" vertical="center"/>
    </xf>
    <xf numFmtId="0" fontId="8" fillId="0" borderId="118" xfId="0" applyFont="1" applyBorder="1" applyAlignment="1" applyProtection="1">
      <alignment horizontal="center" vertical="center"/>
    </xf>
    <xf numFmtId="0" fontId="8" fillId="0" borderId="64" xfId="0" applyFont="1" applyBorder="1" applyAlignment="1" applyProtection="1">
      <alignment horizontal="center" vertical="center"/>
    </xf>
    <xf numFmtId="0" fontId="2" fillId="5" borderId="110" xfId="0" applyFont="1" applyFill="1" applyBorder="1" applyAlignment="1" applyProtection="1">
      <alignment horizontal="center" vertical="center"/>
    </xf>
    <xf numFmtId="0" fontId="2" fillId="5" borderId="110" xfId="0" applyFont="1" applyFill="1" applyBorder="1" applyAlignment="1" applyProtection="1">
      <alignment horizontal="center" vertical="center" wrapText="1"/>
    </xf>
    <xf numFmtId="0" fontId="2" fillId="5" borderId="110" xfId="0" applyNumberFormat="1" applyFont="1" applyFill="1" applyBorder="1" applyAlignment="1" applyProtection="1">
      <alignment horizontal="center" vertical="center"/>
    </xf>
    <xf numFmtId="164" fontId="2" fillId="0" borderId="126" xfId="0" applyNumberFormat="1" applyFont="1" applyBorder="1" applyAlignment="1" applyProtection="1">
      <alignment horizontal="left" vertical="center" indent="1"/>
      <protection locked="0"/>
    </xf>
    <xf numFmtId="164" fontId="2" fillId="0" borderId="118" xfId="0" applyNumberFormat="1" applyFont="1" applyBorder="1" applyAlignment="1" applyProtection="1">
      <alignment horizontal="left" vertical="center" indent="1"/>
      <protection locked="0"/>
    </xf>
    <xf numFmtId="164" fontId="2" fillId="0" borderId="64" xfId="0" applyNumberFormat="1" applyFont="1" applyBorder="1" applyAlignment="1" applyProtection="1">
      <alignment horizontal="left" vertical="center" indent="1"/>
      <protection locked="0"/>
    </xf>
    <xf numFmtId="164" fontId="2" fillId="0" borderId="127" xfId="0" applyNumberFormat="1" applyFont="1" applyBorder="1" applyAlignment="1" applyProtection="1">
      <alignment horizontal="left" vertical="center" indent="1"/>
      <protection locked="0"/>
    </xf>
    <xf numFmtId="164" fontId="2" fillId="0" borderId="128" xfId="0" applyNumberFormat="1" applyFont="1" applyBorder="1" applyAlignment="1" applyProtection="1">
      <alignment horizontal="left" vertical="center" indent="1"/>
      <protection locked="0"/>
    </xf>
    <xf numFmtId="164" fontId="2" fillId="0" borderId="62" xfId="0" applyNumberFormat="1" applyFont="1" applyBorder="1" applyAlignment="1" applyProtection="1">
      <alignment horizontal="left" vertical="center" indent="1"/>
      <protection locked="0"/>
    </xf>
    <xf numFmtId="164" fontId="2" fillId="0" borderId="133" xfId="0" applyNumberFormat="1" applyFont="1" applyBorder="1" applyAlignment="1" applyProtection="1">
      <alignment horizontal="left" vertical="center" indent="1"/>
      <protection locked="0"/>
    </xf>
    <xf numFmtId="164" fontId="2" fillId="0" borderId="134" xfId="0" applyNumberFormat="1" applyFont="1" applyBorder="1" applyAlignment="1" applyProtection="1">
      <alignment horizontal="left" vertical="center" indent="1"/>
      <protection locked="0"/>
    </xf>
    <xf numFmtId="164" fontId="2" fillId="0" borderId="135" xfId="0" applyNumberFormat="1" applyFont="1" applyBorder="1" applyAlignment="1" applyProtection="1">
      <alignment horizontal="left" vertical="center" indent="1"/>
      <protection locked="0"/>
    </xf>
    <xf numFmtId="0" fontId="7" fillId="0" borderId="0" xfId="0" applyFont="1" applyBorder="1" applyAlignment="1" applyProtection="1">
      <alignment horizontal="center" vertical="center" wrapText="1"/>
    </xf>
    <xf numFmtId="0" fontId="8" fillId="11" borderId="137" xfId="0" applyFont="1" applyFill="1" applyBorder="1" applyAlignment="1" applyProtection="1">
      <alignment horizontal="center" vertical="center" wrapText="1"/>
    </xf>
    <xf numFmtId="0" fontId="8" fillId="11" borderId="101" xfId="0" applyFont="1" applyFill="1" applyBorder="1" applyAlignment="1" applyProtection="1">
      <alignment horizontal="center" vertical="center" wrapText="1"/>
    </xf>
    <xf numFmtId="164" fontId="9" fillId="0" borderId="126" xfId="0" applyNumberFormat="1" applyFont="1" applyBorder="1" applyAlignment="1" applyProtection="1">
      <alignment horizontal="center" vertical="center"/>
      <protection locked="0"/>
    </xf>
    <xf numFmtId="164" fontId="9" fillId="0" borderId="192" xfId="0" applyNumberFormat="1" applyFont="1" applyBorder="1" applyAlignment="1" applyProtection="1">
      <alignment horizontal="center" vertical="center"/>
      <protection locked="0"/>
    </xf>
    <xf numFmtId="0" fontId="8" fillId="11" borderId="129" xfId="0" applyFont="1" applyFill="1" applyBorder="1" applyAlignment="1" applyProtection="1">
      <alignment horizontal="center" vertical="center"/>
    </xf>
    <xf numFmtId="0" fontId="8" fillId="11" borderId="179" xfId="0" applyFont="1" applyFill="1" applyBorder="1" applyAlignment="1" applyProtection="1">
      <alignment horizontal="center" vertical="center"/>
    </xf>
    <xf numFmtId="0" fontId="8" fillId="11" borderId="131" xfId="0" applyFont="1" applyFill="1" applyBorder="1" applyAlignment="1" applyProtection="1">
      <alignment horizontal="center" vertical="center"/>
    </xf>
    <xf numFmtId="0" fontId="8" fillId="11" borderId="168" xfId="0" applyFont="1" applyFill="1" applyBorder="1" applyAlignment="1" applyProtection="1">
      <alignment horizontal="center" vertical="center"/>
    </xf>
    <xf numFmtId="164" fontId="9" fillId="0" borderId="133" xfId="0" applyNumberFormat="1" applyFont="1" applyBorder="1" applyAlignment="1" applyProtection="1">
      <alignment horizontal="center" vertical="center"/>
      <protection locked="0"/>
    </xf>
    <xf numFmtId="164" fontId="9" fillId="0" borderId="181" xfId="0" applyNumberFormat="1" applyFont="1" applyBorder="1" applyAlignment="1" applyProtection="1">
      <alignment horizontal="center" vertical="center"/>
      <protection locked="0"/>
    </xf>
    <xf numFmtId="164" fontId="9" fillId="0" borderId="136" xfId="0" applyNumberFormat="1" applyFont="1" applyBorder="1" applyAlignment="1" applyProtection="1">
      <alignment horizontal="center" vertical="center"/>
      <protection locked="0"/>
    </xf>
    <xf numFmtId="164" fontId="9" fillId="0" borderId="180" xfId="0" applyNumberFormat="1" applyFont="1" applyBorder="1" applyAlignment="1" applyProtection="1">
      <alignment horizontal="center" vertical="center"/>
      <protection locked="0"/>
    </xf>
    <xf numFmtId="0" fontId="8" fillId="11" borderId="133" xfId="0" applyFont="1" applyFill="1" applyBorder="1" applyAlignment="1" applyProtection="1">
      <alignment horizontal="center" vertical="center" wrapText="1"/>
    </xf>
    <xf numFmtId="0" fontId="8" fillId="11" borderId="134" xfId="0" applyFont="1" applyFill="1" applyBorder="1" applyAlignment="1" applyProtection="1">
      <alignment horizontal="center" vertical="center" wrapText="1"/>
    </xf>
    <xf numFmtId="0" fontId="8" fillId="11" borderId="181" xfId="0" applyFont="1" applyFill="1" applyBorder="1" applyAlignment="1" applyProtection="1">
      <alignment horizontal="center" vertical="center" wrapText="1"/>
    </xf>
    <xf numFmtId="0" fontId="8" fillId="11" borderId="146" xfId="0" applyFont="1" applyFill="1" applyBorder="1" applyAlignment="1" applyProtection="1">
      <alignment horizontal="center" vertical="center"/>
    </xf>
    <xf numFmtId="0" fontId="8" fillId="11" borderId="147" xfId="0" applyFont="1" applyFill="1" applyBorder="1" applyAlignment="1" applyProtection="1">
      <alignment horizontal="center" vertical="center"/>
    </xf>
    <xf numFmtId="164" fontId="2" fillId="0" borderId="136" xfId="0" applyNumberFormat="1" applyFont="1" applyBorder="1" applyAlignment="1" applyProtection="1">
      <alignment horizontal="left" vertical="center" indent="1"/>
      <protection locked="0"/>
    </xf>
    <xf numFmtId="164" fontId="2" fillId="0" borderId="110" xfId="0" applyNumberFormat="1" applyFont="1" applyBorder="1" applyAlignment="1" applyProtection="1">
      <alignment horizontal="left" vertical="center" indent="1"/>
      <protection locked="0"/>
    </xf>
    <xf numFmtId="164" fontId="2" fillId="0" borderId="63" xfId="0" applyNumberFormat="1" applyFont="1" applyBorder="1" applyAlignment="1" applyProtection="1">
      <alignment horizontal="left" vertical="center" indent="1"/>
      <protection locked="0"/>
    </xf>
    <xf numFmtId="164" fontId="2" fillId="0" borderId="182" xfId="0" applyNumberFormat="1" applyFont="1" applyBorder="1" applyAlignment="1" applyProtection="1">
      <alignment horizontal="left" vertical="center" indent="1"/>
      <protection locked="0"/>
    </xf>
    <xf numFmtId="164" fontId="2" fillId="0" borderId="183" xfId="0" applyNumberFormat="1" applyFont="1" applyBorder="1" applyAlignment="1" applyProtection="1">
      <alignment horizontal="left" vertical="center" indent="1"/>
      <protection locked="0"/>
    </xf>
    <xf numFmtId="164" fontId="2" fillId="0" borderId="55" xfId="0" applyNumberFormat="1" applyFont="1" applyBorder="1" applyAlignment="1" applyProtection="1">
      <alignment horizontal="left" vertical="center" indent="1"/>
      <protection locked="0"/>
    </xf>
    <xf numFmtId="164" fontId="2" fillId="0" borderId="146" xfId="0" applyNumberFormat="1" applyFont="1" applyBorder="1" applyAlignment="1" applyProtection="1">
      <alignment horizontal="left" vertical="center" indent="1"/>
      <protection locked="0"/>
    </xf>
    <xf numFmtId="164" fontId="2" fillId="0" borderId="147" xfId="0" applyNumberFormat="1" applyFont="1" applyBorder="1" applyAlignment="1" applyProtection="1">
      <alignment horizontal="left" vertical="center" indent="1"/>
      <protection locked="0"/>
    </xf>
    <xf numFmtId="164" fontId="2" fillId="0" borderId="70" xfId="0" applyNumberFormat="1" applyFont="1" applyBorder="1" applyAlignment="1" applyProtection="1">
      <alignment horizontal="left" vertical="center" indent="1"/>
      <protection locked="0"/>
    </xf>
    <xf numFmtId="0" fontId="2" fillId="0" borderId="0" xfId="0" applyFont="1" applyFill="1" applyBorder="1" applyAlignment="1" applyProtection="1">
      <alignment horizontal="left" vertical="center" indent="1"/>
    </xf>
    <xf numFmtId="0" fontId="2" fillId="5" borderId="118" xfId="0" applyFont="1" applyFill="1" applyBorder="1" applyAlignment="1" applyProtection="1">
      <alignment horizontal="center" vertical="center"/>
    </xf>
    <xf numFmtId="0" fontId="7" fillId="10" borderId="60" xfId="0" applyFont="1" applyFill="1" applyBorder="1" applyAlignment="1" applyProtection="1">
      <alignment horizontal="center" vertical="center" wrapText="1"/>
    </xf>
    <xf numFmtId="0" fontId="7" fillId="10" borderId="101" xfId="0" applyFont="1" applyFill="1" applyBorder="1" applyAlignment="1" applyProtection="1">
      <alignment horizontal="center" vertical="center" wrapText="1"/>
    </xf>
    <xf numFmtId="0" fontId="9" fillId="3" borderId="212" xfId="0" applyFont="1" applyFill="1" applyBorder="1" applyAlignment="1" applyProtection="1">
      <alignment horizontal="center" vertical="center" wrapText="1"/>
    </xf>
    <xf numFmtId="0" fontId="9" fillId="3" borderId="213" xfId="0" applyFont="1" applyFill="1" applyBorder="1" applyAlignment="1" applyProtection="1">
      <alignment horizontal="center" vertical="center" wrapText="1"/>
    </xf>
    <xf numFmtId="0" fontId="3" fillId="0" borderId="133" xfId="0" applyFont="1" applyBorder="1" applyAlignment="1" applyProtection="1">
      <alignment horizontal="center" vertical="center"/>
    </xf>
    <xf numFmtId="0" fontId="3" fillId="0" borderId="134" xfId="0" applyFont="1" applyBorder="1" applyAlignment="1" applyProtection="1">
      <alignment horizontal="center" vertical="center"/>
    </xf>
    <xf numFmtId="0" fontId="3" fillId="0" borderId="181" xfId="0" applyFont="1" applyBorder="1" applyAlignment="1" applyProtection="1">
      <alignment horizontal="center" vertical="center"/>
    </xf>
    <xf numFmtId="0" fontId="3" fillId="0" borderId="217" xfId="0" applyFont="1" applyBorder="1" applyAlignment="1" applyProtection="1">
      <alignment horizontal="center" vertical="center"/>
    </xf>
    <xf numFmtId="0" fontId="3" fillId="0" borderId="138" xfId="0" applyFont="1" applyBorder="1" applyAlignment="1" applyProtection="1">
      <alignment horizontal="center" vertical="center"/>
    </xf>
    <xf numFmtId="0" fontId="3" fillId="0" borderId="216" xfId="0" applyFont="1" applyBorder="1" applyAlignment="1" applyProtection="1">
      <alignment horizontal="center" vertical="center"/>
    </xf>
    <xf numFmtId="0" fontId="7" fillId="0" borderId="0" xfId="0" applyFont="1" applyBorder="1" applyAlignment="1" applyProtection="1">
      <alignment horizontal="right" vertical="center" wrapText="1" indent="1"/>
    </xf>
    <xf numFmtId="49" fontId="2" fillId="5" borderId="110" xfId="0" applyNumberFormat="1" applyFont="1" applyFill="1" applyBorder="1" applyAlignment="1" applyProtection="1">
      <alignment horizontal="center" vertical="center"/>
    </xf>
    <xf numFmtId="0" fontId="7" fillId="0" borderId="0" xfId="0" applyFont="1" applyBorder="1" applyAlignment="1" applyProtection="1">
      <alignment horizontal="right" vertical="center" indent="1"/>
    </xf>
    <xf numFmtId="164" fontId="8" fillId="0" borderId="142" xfId="6" applyNumberFormat="1" applyFont="1" applyBorder="1" applyAlignment="1" applyProtection="1">
      <alignment horizontal="center" vertical="center"/>
    </xf>
    <xf numFmtId="164" fontId="8" fillId="0" borderId="82" xfId="6" applyNumberFormat="1" applyFont="1" applyBorder="1" applyAlignment="1" applyProtection="1">
      <alignment horizontal="center" vertical="center"/>
    </xf>
    <xf numFmtId="164" fontId="8" fillId="0" borderId="143" xfId="6" applyNumberFormat="1" applyFont="1" applyBorder="1" applyAlignment="1" applyProtection="1">
      <alignment horizontal="center" vertical="center"/>
    </xf>
    <xf numFmtId="0" fontId="2" fillId="0" borderId="110" xfId="0" applyFont="1" applyFill="1" applyBorder="1" applyAlignment="1" applyProtection="1">
      <alignment horizontal="center" vertical="center"/>
    </xf>
    <xf numFmtId="0" fontId="9" fillId="3" borderId="91" xfId="0" applyFont="1" applyFill="1" applyBorder="1" applyAlignment="1" applyProtection="1">
      <alignment horizontal="center" vertical="center"/>
    </xf>
    <xf numFmtId="0" fontId="9" fillId="3" borderId="41" xfId="0" applyFont="1" applyFill="1" applyBorder="1" applyAlignment="1" applyProtection="1">
      <alignment horizontal="center" vertical="center"/>
    </xf>
    <xf numFmtId="0" fontId="9" fillId="3" borderId="43" xfId="0" applyFont="1" applyFill="1" applyBorder="1" applyAlignment="1" applyProtection="1">
      <alignment horizontal="center" vertical="center"/>
    </xf>
    <xf numFmtId="0" fontId="3" fillId="3" borderId="41" xfId="0" applyFont="1" applyFill="1" applyBorder="1" applyAlignment="1" applyProtection="1">
      <alignment horizontal="center" vertical="center"/>
    </xf>
    <xf numFmtId="0" fontId="3" fillId="3" borderId="43" xfId="0" applyFont="1" applyFill="1" applyBorder="1" applyAlignment="1" applyProtection="1">
      <alignment horizontal="center" vertical="center"/>
    </xf>
    <xf numFmtId="0" fontId="9" fillId="3" borderId="140" xfId="0" applyFont="1" applyFill="1" applyBorder="1" applyAlignment="1" applyProtection="1">
      <alignment horizontal="center" vertical="center"/>
    </xf>
    <xf numFmtId="0" fontId="9" fillId="3" borderId="141" xfId="0" applyFont="1" applyFill="1" applyBorder="1" applyAlignment="1" applyProtection="1">
      <alignment horizontal="center" vertical="center"/>
    </xf>
    <xf numFmtId="0" fontId="10" fillId="16" borderId="142" xfId="0" applyFont="1" applyFill="1" applyBorder="1" applyAlignment="1" applyProtection="1">
      <alignment horizontal="center" vertical="center"/>
    </xf>
    <xf numFmtId="0" fontId="10" fillId="16" borderId="82" xfId="0" applyFont="1" applyFill="1" applyBorder="1" applyAlignment="1" applyProtection="1">
      <alignment horizontal="center" vertical="center"/>
    </xf>
    <xf numFmtId="0" fontId="10" fillId="16" borderId="143" xfId="0" applyFont="1" applyFill="1" applyBorder="1" applyAlignment="1" applyProtection="1">
      <alignment horizontal="center" vertical="center"/>
    </xf>
    <xf numFmtId="164" fontId="9" fillId="0" borderId="45" xfId="0" applyNumberFormat="1" applyFont="1" applyFill="1" applyBorder="1" applyAlignment="1" applyProtection="1">
      <alignment horizontal="center" vertical="center"/>
      <protection locked="0"/>
    </xf>
    <xf numFmtId="0" fontId="9" fillId="0" borderId="150" xfId="0" applyFont="1" applyFill="1" applyBorder="1" applyAlignment="1" applyProtection="1">
      <alignment horizontal="center" vertical="center"/>
    </xf>
    <xf numFmtId="0" fontId="9" fillId="0" borderId="91" xfId="0" applyFont="1" applyFill="1" applyBorder="1" applyAlignment="1" applyProtection="1">
      <alignment horizontal="center" vertical="center"/>
    </xf>
    <xf numFmtId="0" fontId="3" fillId="3" borderId="139" xfId="0" applyFont="1" applyFill="1" applyBorder="1" applyAlignment="1" applyProtection="1">
      <alignment horizontal="center" vertical="center"/>
    </xf>
    <xf numFmtId="0" fontId="3" fillId="3" borderId="202" xfId="0" applyFont="1" applyFill="1" applyBorder="1" applyAlignment="1" applyProtection="1">
      <alignment horizontal="center" vertical="center"/>
    </xf>
    <xf numFmtId="0" fontId="9" fillId="3" borderId="37" xfId="0" applyFont="1" applyFill="1" applyBorder="1" applyAlignment="1" applyProtection="1">
      <alignment horizontal="center" vertical="center" wrapText="1"/>
    </xf>
    <xf numFmtId="0" fontId="9" fillId="3" borderId="84" xfId="0" applyFont="1" applyFill="1" applyBorder="1" applyAlignment="1" applyProtection="1">
      <alignment horizontal="center" vertical="center" wrapText="1"/>
    </xf>
    <xf numFmtId="164" fontId="9" fillId="0" borderId="32" xfId="0" applyNumberFormat="1" applyFont="1" applyFill="1" applyBorder="1" applyAlignment="1" applyProtection="1">
      <alignment horizontal="center" vertical="center"/>
      <protection locked="0"/>
    </xf>
    <xf numFmtId="164" fontId="9" fillId="0" borderId="68" xfId="0" applyNumberFormat="1" applyFont="1" applyFill="1" applyBorder="1" applyAlignment="1" applyProtection="1">
      <alignment horizontal="center" vertical="center"/>
      <protection locked="0"/>
    </xf>
    <xf numFmtId="0" fontId="8" fillId="9" borderId="189" xfId="0" applyFont="1" applyFill="1" applyBorder="1" applyAlignment="1" applyProtection="1">
      <alignment horizontal="right" vertical="center" indent="3"/>
    </xf>
    <xf numFmtId="0" fontId="10" fillId="17" borderId="146" xfId="0" applyFont="1" applyFill="1" applyBorder="1" applyAlignment="1" applyProtection="1">
      <alignment horizontal="center" vertical="center"/>
    </xf>
    <xf numFmtId="0" fontId="10" fillId="17" borderId="147" xfId="0" applyFont="1" applyFill="1" applyBorder="1" applyAlignment="1" applyProtection="1">
      <alignment horizontal="center" vertical="center"/>
    </xf>
    <xf numFmtId="0" fontId="10" fillId="17" borderId="75" xfId="0" applyFont="1" applyFill="1" applyBorder="1" applyAlignment="1" applyProtection="1">
      <alignment horizontal="center" vertical="center"/>
    </xf>
    <xf numFmtId="0" fontId="9" fillId="0" borderId="148" xfId="0" applyFont="1" applyFill="1" applyBorder="1" applyAlignment="1" applyProtection="1">
      <alignment horizontal="center" vertical="center" wrapText="1"/>
    </xf>
    <xf numFmtId="0" fontId="9" fillId="0" borderId="149" xfId="0" applyFont="1" applyFill="1" applyBorder="1" applyAlignment="1" applyProtection="1">
      <alignment horizontal="center" vertical="center" wrapText="1"/>
    </xf>
    <xf numFmtId="0" fontId="9" fillId="0" borderId="150" xfId="0" applyFont="1" applyFill="1" applyBorder="1" applyAlignment="1" applyProtection="1">
      <alignment horizontal="center" vertical="center" wrapText="1"/>
    </xf>
    <xf numFmtId="0" fontId="9" fillId="0" borderId="91" xfId="0" applyFont="1" applyFill="1" applyBorder="1" applyAlignment="1" applyProtection="1">
      <alignment horizontal="center" vertical="center" wrapText="1"/>
    </xf>
    <xf numFmtId="0" fontId="9" fillId="0" borderId="151" xfId="0" applyFont="1" applyFill="1" applyBorder="1" applyAlignment="1" applyProtection="1">
      <alignment horizontal="center" vertical="center" wrapText="1"/>
    </xf>
    <xf numFmtId="0" fontId="9" fillId="0" borderId="45" xfId="0" applyFont="1" applyFill="1" applyBorder="1" applyAlignment="1" applyProtection="1">
      <alignment horizontal="center" vertical="center" wrapText="1"/>
    </xf>
    <xf numFmtId="0" fontId="9" fillId="0" borderId="151" xfId="0" applyFont="1" applyFill="1" applyBorder="1" applyAlignment="1" applyProtection="1">
      <alignment horizontal="center" vertical="center"/>
    </xf>
    <xf numFmtId="0" fontId="9" fillId="0" borderId="45" xfId="0" applyFont="1" applyFill="1" applyBorder="1" applyAlignment="1" applyProtection="1">
      <alignment horizontal="center" vertical="center"/>
    </xf>
    <xf numFmtId="0" fontId="8" fillId="0" borderId="129" xfId="0" applyFont="1" applyFill="1" applyBorder="1" applyAlignment="1" applyProtection="1">
      <alignment horizontal="right" vertical="center" indent="1"/>
    </xf>
    <xf numFmtId="0" fontId="8" fillId="0" borderId="130" xfId="0" applyFont="1" applyFill="1" applyBorder="1" applyAlignment="1" applyProtection="1">
      <alignment horizontal="right" vertical="center" indent="1"/>
    </xf>
    <xf numFmtId="0" fontId="8" fillId="0" borderId="190" xfId="0" applyFont="1" applyFill="1" applyBorder="1" applyAlignment="1" applyProtection="1">
      <alignment horizontal="right" vertical="center" indent="1"/>
    </xf>
    <xf numFmtId="0" fontId="8" fillId="0" borderId="131" xfId="0" applyFont="1" applyFill="1" applyBorder="1" applyAlignment="1" applyProtection="1">
      <alignment horizontal="right" vertical="center" indent="1"/>
    </xf>
    <xf numFmtId="0" fontId="8" fillId="0" borderId="132" xfId="0" applyFont="1" applyFill="1" applyBorder="1" applyAlignment="1" applyProtection="1">
      <alignment horizontal="right" vertical="center" indent="1"/>
    </xf>
    <xf numFmtId="0" fontId="8" fillId="0" borderId="97" xfId="0" applyFont="1" applyFill="1" applyBorder="1" applyAlignment="1" applyProtection="1">
      <alignment horizontal="right" vertical="center" indent="1"/>
    </xf>
    <xf numFmtId="0" fontId="10" fillId="18" borderId="49" xfId="0" applyFont="1" applyFill="1" applyBorder="1" applyAlignment="1" applyProtection="1">
      <alignment horizontal="center" vertical="center"/>
    </xf>
    <xf numFmtId="0" fontId="8" fillId="9" borderId="156" xfId="0" applyFont="1" applyFill="1" applyBorder="1" applyAlignment="1" applyProtection="1">
      <alignment horizontal="right" vertical="center" indent="3"/>
    </xf>
    <xf numFmtId="0" fontId="8" fillId="9" borderId="157" xfId="0" applyFont="1" applyFill="1" applyBorder="1" applyAlignment="1" applyProtection="1">
      <alignment horizontal="right" vertical="center" indent="3"/>
    </xf>
    <xf numFmtId="0" fontId="9" fillId="0" borderId="187" xfId="0" applyFont="1" applyFill="1" applyBorder="1" applyAlignment="1" applyProtection="1">
      <alignment horizontal="center" vertical="center"/>
    </xf>
    <xf numFmtId="164" fontId="9" fillId="0" borderId="188" xfId="0" applyNumberFormat="1" applyFont="1" applyFill="1" applyBorder="1" applyAlignment="1" applyProtection="1">
      <alignment horizontal="center" vertical="center"/>
      <protection locked="0"/>
    </xf>
    <xf numFmtId="0" fontId="3" fillId="0" borderId="141" xfId="0" applyFont="1" applyBorder="1" applyAlignment="1" applyProtection="1">
      <alignment horizontal="center" vertical="center"/>
    </xf>
    <xf numFmtId="0" fontId="9" fillId="3" borderId="152" xfId="0" applyFont="1" applyFill="1" applyBorder="1" applyAlignment="1" applyProtection="1">
      <alignment horizontal="center" vertical="center" wrapText="1"/>
    </xf>
    <xf numFmtId="0" fontId="9" fillId="3" borderId="153" xfId="0" applyFont="1" applyFill="1" applyBorder="1" applyAlignment="1" applyProtection="1">
      <alignment horizontal="center" vertical="center" wrapText="1"/>
    </xf>
    <xf numFmtId="0" fontId="9" fillId="3" borderId="154" xfId="0" applyFont="1" applyFill="1" applyBorder="1" applyAlignment="1" applyProtection="1">
      <alignment horizontal="center" vertical="center" wrapText="1"/>
    </xf>
    <xf numFmtId="0" fontId="9" fillId="3" borderId="155" xfId="0" applyFont="1" applyFill="1" applyBorder="1" applyAlignment="1" applyProtection="1">
      <alignment horizontal="center" vertical="center" wrapText="1"/>
    </xf>
    <xf numFmtId="0" fontId="9" fillId="0" borderId="32" xfId="0" applyFont="1" applyFill="1" applyBorder="1" applyAlignment="1" applyProtection="1">
      <alignment horizontal="center" vertical="center"/>
    </xf>
    <xf numFmtId="0" fontId="9" fillId="0" borderId="68" xfId="0" applyFont="1" applyFill="1" applyBorder="1" applyAlignment="1" applyProtection="1">
      <alignment horizontal="center" vertical="center"/>
    </xf>
    <xf numFmtId="0" fontId="8" fillId="9" borderId="142" xfId="0" applyFont="1" applyFill="1" applyBorder="1" applyAlignment="1" applyProtection="1">
      <alignment horizontal="center" vertical="center"/>
    </xf>
    <xf numFmtId="0" fontId="8" fillId="9" borderId="82" xfId="0" applyFont="1" applyFill="1" applyBorder="1" applyAlignment="1" applyProtection="1">
      <alignment horizontal="center" vertical="center"/>
    </xf>
    <xf numFmtId="0" fontId="8" fillId="9" borderId="88" xfId="0" applyFont="1" applyFill="1" applyBorder="1" applyAlignment="1" applyProtection="1">
      <alignment horizontal="center" vertical="center"/>
    </xf>
    <xf numFmtId="164" fontId="9" fillId="3" borderId="90" xfId="0" applyNumberFormat="1" applyFont="1" applyFill="1" applyBorder="1" applyAlignment="1" applyProtection="1">
      <alignment horizontal="center" vertical="center"/>
      <protection locked="0"/>
    </xf>
    <xf numFmtId="164" fontId="9" fillId="3" borderId="144" xfId="0" applyNumberFormat="1" applyFont="1" applyFill="1" applyBorder="1" applyAlignment="1" applyProtection="1">
      <alignment horizontal="center" vertical="center"/>
      <protection locked="0"/>
    </xf>
    <xf numFmtId="164" fontId="9" fillId="3" borderId="38" xfId="0" applyNumberFormat="1" applyFont="1" applyFill="1" applyBorder="1" applyAlignment="1" applyProtection="1">
      <alignment horizontal="center" vertical="center"/>
      <protection locked="0"/>
    </xf>
    <xf numFmtId="164" fontId="9" fillId="4" borderId="105" xfId="0" applyNumberFormat="1" applyFont="1" applyFill="1" applyBorder="1" applyAlignment="1" applyProtection="1">
      <alignment horizontal="center" vertical="center" wrapText="1"/>
    </xf>
    <xf numFmtId="164" fontId="9" fillId="4" borderId="32" xfId="0" applyNumberFormat="1" applyFont="1" applyFill="1" applyBorder="1" applyAlignment="1" applyProtection="1">
      <alignment horizontal="center" vertical="center" wrapText="1"/>
    </xf>
    <xf numFmtId="164" fontId="9" fillId="4" borderId="103" xfId="0" applyNumberFormat="1" applyFont="1" applyFill="1" applyBorder="1" applyAlignment="1" applyProtection="1">
      <alignment horizontal="center" vertical="center" wrapText="1"/>
    </xf>
    <xf numFmtId="0" fontId="7" fillId="10" borderId="146" xfId="0" applyFont="1" applyFill="1" applyBorder="1" applyAlignment="1" applyProtection="1">
      <alignment horizontal="center" vertical="center"/>
    </xf>
    <xf numFmtId="0" fontId="7" fillId="10" borderId="147" xfId="0" applyFont="1" applyFill="1" applyBorder="1" applyAlignment="1" applyProtection="1">
      <alignment horizontal="center" vertical="center"/>
    </xf>
    <xf numFmtId="0" fontId="7" fillId="10" borderId="75" xfId="0" applyFont="1" applyFill="1" applyBorder="1" applyAlignment="1" applyProtection="1">
      <alignment horizontal="center" vertical="center"/>
    </xf>
    <xf numFmtId="164" fontId="9" fillId="4" borderId="161" xfId="0" applyNumberFormat="1" applyFont="1" applyFill="1" applyBorder="1" applyAlignment="1" applyProtection="1">
      <alignment horizontal="center" vertical="center" wrapText="1"/>
    </xf>
    <xf numFmtId="164" fontId="9" fillId="4" borderId="68" xfId="0" applyNumberFormat="1" applyFont="1" applyFill="1" applyBorder="1" applyAlignment="1" applyProtection="1">
      <alignment horizontal="center" vertical="center" wrapText="1"/>
    </xf>
    <xf numFmtId="164" fontId="9" fillId="4" borderId="162" xfId="0" applyNumberFormat="1" applyFont="1" applyFill="1" applyBorder="1" applyAlignment="1" applyProtection="1">
      <alignment horizontal="center" vertical="center" wrapText="1"/>
    </xf>
    <xf numFmtId="164" fontId="8" fillId="4" borderId="58" xfId="0" applyNumberFormat="1" applyFont="1" applyFill="1" applyBorder="1" applyAlignment="1" applyProtection="1">
      <alignment horizontal="center" vertical="center" wrapText="1"/>
    </xf>
    <xf numFmtId="164" fontId="8" fillId="4" borderId="76" xfId="0" applyNumberFormat="1" applyFont="1" applyFill="1" applyBorder="1" applyAlignment="1" applyProtection="1">
      <alignment horizontal="center" vertical="center" wrapText="1"/>
    </xf>
    <xf numFmtId="164" fontId="9" fillId="4" borderId="102" xfId="0" applyNumberFormat="1" applyFont="1" applyFill="1" applyBorder="1" applyAlignment="1" applyProtection="1">
      <alignment horizontal="center" vertical="center" wrapText="1"/>
    </xf>
    <xf numFmtId="164" fontId="9" fillId="4" borderId="65" xfId="0" applyNumberFormat="1" applyFont="1" applyFill="1" applyBorder="1" applyAlignment="1" applyProtection="1">
      <alignment horizontal="center" vertical="center" wrapText="1"/>
    </xf>
    <xf numFmtId="164" fontId="9" fillId="4" borderId="73" xfId="0" applyNumberFormat="1" applyFont="1" applyFill="1" applyBorder="1" applyAlignment="1" applyProtection="1">
      <alignment horizontal="center" vertical="center" wrapText="1"/>
    </xf>
    <xf numFmtId="164" fontId="9" fillId="16" borderId="102" xfId="0" applyNumberFormat="1" applyFont="1" applyFill="1" applyBorder="1" applyAlignment="1" applyProtection="1">
      <alignment horizontal="center" vertical="center" wrapText="1"/>
    </xf>
    <xf numFmtId="164" fontId="9" fillId="16" borderId="65" xfId="0" applyNumberFormat="1" applyFont="1" applyFill="1" applyBorder="1" applyAlignment="1" applyProtection="1">
      <alignment horizontal="center" vertical="center" wrapText="1"/>
    </xf>
    <xf numFmtId="164" fontId="9" fillId="16" borderId="73" xfId="0" applyNumberFormat="1" applyFont="1" applyFill="1" applyBorder="1" applyAlignment="1" applyProtection="1">
      <alignment horizontal="center" vertical="center" wrapText="1"/>
    </xf>
    <xf numFmtId="164" fontId="9" fillId="16" borderId="104" xfId="0" applyNumberFormat="1" applyFont="1" applyFill="1" applyBorder="1" applyAlignment="1" applyProtection="1">
      <alignment horizontal="center" vertical="center" wrapText="1"/>
    </xf>
    <xf numFmtId="164" fontId="9" fillId="16" borderId="56" xfId="0" applyNumberFormat="1" applyFont="1" applyFill="1" applyBorder="1" applyAlignment="1" applyProtection="1">
      <alignment horizontal="center" vertical="center" wrapText="1"/>
    </xf>
    <xf numFmtId="164" fontId="9" fillId="16" borderId="158" xfId="0" applyNumberFormat="1" applyFont="1" applyFill="1" applyBorder="1" applyAlignment="1" applyProtection="1">
      <alignment horizontal="center" vertical="center" wrapText="1"/>
    </xf>
    <xf numFmtId="164" fontId="9" fillId="4" borderId="63" xfId="0" applyNumberFormat="1" applyFont="1" applyFill="1" applyBorder="1" applyAlignment="1" applyProtection="1">
      <alignment horizontal="center" vertical="center" wrapText="1"/>
    </xf>
    <xf numFmtId="164" fontId="9" fillId="4" borderId="66" xfId="0" applyNumberFormat="1" applyFont="1" applyFill="1" applyBorder="1" applyAlignment="1" applyProtection="1">
      <alignment horizontal="center" vertical="center" wrapText="1"/>
    </xf>
    <xf numFmtId="164" fontId="8" fillId="10" borderId="159" xfId="0" applyNumberFormat="1" applyFont="1" applyFill="1" applyBorder="1" applyAlignment="1" applyProtection="1">
      <alignment horizontal="center" vertical="center" wrapText="1"/>
    </xf>
    <xf numFmtId="164" fontId="8" fillId="10" borderId="72" xfId="0" applyNumberFormat="1" applyFont="1" applyFill="1" applyBorder="1" applyAlignment="1" applyProtection="1">
      <alignment horizontal="center" vertical="center" wrapText="1"/>
    </xf>
    <xf numFmtId="164" fontId="8" fillId="10" borderId="208" xfId="0" applyNumberFormat="1" applyFont="1" applyFill="1" applyBorder="1" applyAlignment="1" applyProtection="1">
      <alignment horizontal="center" vertical="center" wrapText="1"/>
    </xf>
    <xf numFmtId="164" fontId="8" fillId="10" borderId="160" xfId="0" applyNumberFormat="1" applyFont="1" applyFill="1" applyBorder="1" applyAlignment="1" applyProtection="1">
      <alignment horizontal="center" vertical="center" wrapText="1"/>
    </xf>
    <xf numFmtId="49" fontId="2" fillId="5" borderId="118" xfId="0" applyNumberFormat="1" applyFont="1" applyFill="1" applyBorder="1" applyAlignment="1" applyProtection="1">
      <alignment horizontal="center" vertical="center"/>
    </xf>
    <xf numFmtId="0" fontId="2" fillId="0" borderId="75" xfId="0" applyFont="1" applyBorder="1" applyAlignment="1" applyProtection="1">
      <alignment horizontal="center" vertical="center"/>
    </xf>
    <xf numFmtId="0" fontId="2" fillId="0" borderId="146" xfId="0" applyFont="1" applyBorder="1" applyAlignment="1" applyProtection="1">
      <alignment horizontal="center" vertical="center"/>
    </xf>
    <xf numFmtId="164" fontId="8" fillId="10" borderId="61" xfId="0" applyNumberFormat="1" applyFont="1" applyFill="1" applyBorder="1" applyAlignment="1" applyProtection="1">
      <alignment horizontal="center" vertical="center" wrapText="1"/>
    </xf>
    <xf numFmtId="0" fontId="7" fillId="10" borderId="160" xfId="0" applyFont="1" applyFill="1" applyBorder="1" applyAlignment="1" applyProtection="1">
      <alignment horizontal="center" vertical="center"/>
    </xf>
    <xf numFmtId="0" fontId="2" fillId="0" borderId="75" xfId="0" applyFont="1" applyBorder="1" applyAlignment="1" applyProtection="1">
      <alignment horizontal="center" vertical="center"/>
      <protection locked="0"/>
    </xf>
    <xf numFmtId="0" fontId="2" fillId="0" borderId="146" xfId="0" applyFont="1" applyBorder="1" applyAlignment="1" applyProtection="1">
      <alignment horizontal="center" vertical="center"/>
      <protection locked="0"/>
    </xf>
    <xf numFmtId="0" fontId="2" fillId="0" borderId="61" xfId="0" applyFont="1" applyBorder="1" applyAlignment="1" applyProtection="1">
      <alignment horizontal="center" vertical="center"/>
    </xf>
    <xf numFmtId="164" fontId="9" fillId="4" borderId="61" xfId="0" applyNumberFormat="1" applyFont="1" applyFill="1" applyBorder="1" applyAlignment="1" applyProtection="1">
      <alignment horizontal="center" vertical="center" wrapText="1"/>
    </xf>
    <xf numFmtId="0" fontId="2" fillId="10" borderId="160" xfId="0" applyFont="1" applyFill="1" applyBorder="1" applyAlignment="1" applyProtection="1">
      <alignment horizontal="center" vertical="center"/>
    </xf>
    <xf numFmtId="0" fontId="7" fillId="19" borderId="61" xfId="0" applyFont="1" applyFill="1" applyBorder="1" applyAlignment="1">
      <alignment horizontal="center" vertical="center"/>
    </xf>
    <xf numFmtId="0" fontId="7" fillId="19" borderId="75" xfId="0" applyFont="1" applyFill="1" applyBorder="1" applyAlignment="1">
      <alignment horizontal="center" vertical="center"/>
    </xf>
    <xf numFmtId="164" fontId="8" fillId="0" borderId="32" xfId="6" applyNumberFormat="1" applyFont="1" applyBorder="1" applyAlignment="1" applyProtection="1">
      <alignment horizontal="center" vertical="center"/>
    </xf>
    <xf numFmtId="164" fontId="7" fillId="10" borderId="131" xfId="0" applyNumberFormat="1" applyFont="1" applyFill="1" applyBorder="1" applyAlignment="1" applyProtection="1">
      <alignment horizontal="center" vertical="center"/>
    </xf>
    <xf numFmtId="164" fontId="7" fillId="10" borderId="132" xfId="0" applyNumberFormat="1" applyFont="1" applyFill="1" applyBorder="1" applyAlignment="1" applyProtection="1">
      <alignment horizontal="center" vertical="center"/>
    </xf>
    <xf numFmtId="164" fontId="7" fillId="10" borderId="168" xfId="0" applyNumberFormat="1" applyFont="1" applyFill="1" applyBorder="1" applyAlignment="1" applyProtection="1">
      <alignment horizontal="center" vertical="center"/>
    </xf>
  </cellXfs>
  <cellStyles count="9">
    <cellStyle name="Excel Built-in Excel Bu" xfId="1"/>
    <cellStyle name="Excel Built-in Excel Built-in Excel Built-in Excel Built-in Excel Built-in Excel Built-in Excel Built-in Normal 10" xfId="2"/>
    <cellStyle name="Hipervínculo" xfId="3" builtinId="8"/>
    <cellStyle name="Normal" xfId="0" builtinId="0"/>
    <cellStyle name="Normal 10" xfId="4"/>
    <cellStyle name="Normal 11" xfId="5"/>
    <cellStyle name="Normal 2" xfId="6"/>
    <cellStyle name="Porcentaje" xfId="7" builtinId="5"/>
    <cellStyle name="TableStyleLight1" xfId="8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DBEEF4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1363B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30480</xdr:rowOff>
    </xdr:from>
    <xdr:to>
      <xdr:col>2</xdr:col>
      <xdr:colOff>207917</xdr:colOff>
      <xdr:row>3</xdr:row>
      <xdr:rowOff>175260</xdr:rowOff>
    </xdr:to>
    <xdr:pic>
      <xdr:nvPicPr>
        <xdr:cNvPr id="6031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480"/>
          <a:ext cx="1440180" cy="6858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13</xdr:col>
      <xdr:colOff>133350</xdr:colOff>
      <xdr:row>0</xdr:row>
      <xdr:rowOff>0</xdr:rowOff>
    </xdr:from>
    <xdr:to>
      <xdr:col>13</xdr:col>
      <xdr:colOff>851535</xdr:colOff>
      <xdr:row>4</xdr:row>
      <xdr:rowOff>72390</xdr:rowOff>
    </xdr:to>
    <xdr:pic>
      <xdr:nvPicPr>
        <xdr:cNvPr id="5" name="1 Imagen"/>
        <xdr:cNvPicPr/>
      </xdr:nvPicPr>
      <xdr:blipFill>
        <a:blip xmlns:r="http://schemas.openxmlformats.org/officeDocument/2006/relationships" r:embed="rId2" cstate="print"/>
        <a:stretch/>
      </xdr:blipFill>
      <xdr:spPr>
        <a:xfrm>
          <a:off x="11555730" y="0"/>
          <a:ext cx="718185" cy="803910"/>
        </a:xfrm>
        <a:prstGeom prst="rect">
          <a:avLst/>
        </a:prstGeom>
        <a:ln>
          <a:noFill/>
        </a:ln>
        <a:effectLst>
          <a:softEdge rad="112500"/>
        </a:effec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68580</xdr:colOff>
      <xdr:row>0</xdr:row>
      <xdr:rowOff>53340</xdr:rowOff>
    </xdr:from>
    <xdr:to>
      <xdr:col>2</xdr:col>
      <xdr:colOff>173990</xdr:colOff>
      <xdr:row>3</xdr:row>
      <xdr:rowOff>155734</xdr:rowOff>
    </xdr:to>
    <xdr:pic>
      <xdr:nvPicPr>
        <xdr:cNvPr id="2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" y="53340"/>
          <a:ext cx="1400810" cy="690562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13</xdr:col>
      <xdr:colOff>182880</xdr:colOff>
      <xdr:row>0</xdr:row>
      <xdr:rowOff>22859</xdr:rowOff>
    </xdr:from>
    <xdr:to>
      <xdr:col>13</xdr:col>
      <xdr:colOff>901065</xdr:colOff>
      <xdr:row>4</xdr:row>
      <xdr:rowOff>52863</xdr:rowOff>
    </xdr:to>
    <xdr:pic>
      <xdr:nvPicPr>
        <xdr:cNvPr id="3" name="1 Imagen"/>
        <xdr:cNvPicPr/>
      </xdr:nvPicPr>
      <xdr:blipFill>
        <a:blip xmlns:r="http://schemas.openxmlformats.org/officeDocument/2006/relationships" r:embed="rId2" cstate="print"/>
        <a:stretch/>
      </xdr:blipFill>
      <xdr:spPr>
        <a:xfrm>
          <a:off x="11803380" y="22859"/>
          <a:ext cx="718185" cy="808672"/>
        </a:xfrm>
        <a:prstGeom prst="rect">
          <a:avLst/>
        </a:prstGeom>
        <a:ln>
          <a:noFill/>
        </a:ln>
        <a:effectLst>
          <a:softEdge rad="112500"/>
        </a:effec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60960</xdr:rowOff>
    </xdr:from>
    <xdr:to>
      <xdr:col>1</xdr:col>
      <xdr:colOff>966651</xdr:colOff>
      <xdr:row>4</xdr:row>
      <xdr:rowOff>60960</xdr:rowOff>
    </xdr:to>
    <xdr:pic>
      <xdr:nvPicPr>
        <xdr:cNvPr id="14495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0960"/>
          <a:ext cx="1440180" cy="67056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17</xdr:col>
      <xdr:colOff>765175</xdr:colOff>
      <xdr:row>0</xdr:row>
      <xdr:rowOff>0</xdr:rowOff>
    </xdr:from>
    <xdr:to>
      <xdr:col>18</xdr:col>
      <xdr:colOff>540387</xdr:colOff>
      <xdr:row>4</xdr:row>
      <xdr:rowOff>123825</xdr:rowOff>
    </xdr:to>
    <xdr:pic>
      <xdr:nvPicPr>
        <xdr:cNvPr id="6" name="1 Imagen"/>
        <xdr:cNvPicPr/>
      </xdr:nvPicPr>
      <xdr:blipFill>
        <a:blip xmlns:r="http://schemas.openxmlformats.org/officeDocument/2006/relationships" r:embed="rId2" cstate="print"/>
        <a:stretch/>
      </xdr:blipFill>
      <xdr:spPr>
        <a:xfrm>
          <a:off x="11471275" y="0"/>
          <a:ext cx="724535" cy="784225"/>
        </a:xfrm>
        <a:prstGeom prst="rect">
          <a:avLst/>
        </a:prstGeom>
        <a:ln>
          <a:noFill/>
        </a:ln>
        <a:effectLst>
          <a:softEdge rad="112500"/>
        </a:effec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60960</xdr:rowOff>
    </xdr:from>
    <xdr:to>
      <xdr:col>1</xdr:col>
      <xdr:colOff>966651</xdr:colOff>
      <xdr:row>4</xdr:row>
      <xdr:rowOff>60960</xdr:rowOff>
    </xdr:to>
    <xdr:pic>
      <xdr:nvPicPr>
        <xdr:cNvPr id="2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0960"/>
          <a:ext cx="1423851" cy="6477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14</xdr:col>
      <xdr:colOff>0</xdr:colOff>
      <xdr:row>0</xdr:row>
      <xdr:rowOff>0</xdr:rowOff>
    </xdr:from>
    <xdr:to>
      <xdr:col>14</xdr:col>
      <xdr:colOff>711384</xdr:colOff>
      <xdr:row>4</xdr:row>
      <xdr:rowOff>123825</xdr:rowOff>
    </xdr:to>
    <xdr:pic>
      <xdr:nvPicPr>
        <xdr:cNvPr id="3" name="1 Imagen"/>
        <xdr:cNvPicPr/>
      </xdr:nvPicPr>
      <xdr:blipFill>
        <a:blip xmlns:r="http://schemas.openxmlformats.org/officeDocument/2006/relationships" r:embed="rId2" cstate="print"/>
        <a:stretch/>
      </xdr:blipFill>
      <xdr:spPr>
        <a:xfrm>
          <a:off x="12995275" y="0"/>
          <a:ext cx="689611" cy="771525"/>
        </a:xfrm>
        <a:prstGeom prst="rect">
          <a:avLst/>
        </a:prstGeom>
        <a:ln>
          <a:noFill/>
        </a:ln>
        <a:effectLst>
          <a:softEdge rad="112500"/>
        </a:effec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60960</xdr:rowOff>
    </xdr:from>
    <xdr:to>
      <xdr:col>1</xdr:col>
      <xdr:colOff>966651</xdr:colOff>
      <xdr:row>4</xdr:row>
      <xdr:rowOff>60960</xdr:rowOff>
    </xdr:to>
    <xdr:pic>
      <xdr:nvPicPr>
        <xdr:cNvPr id="2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0960"/>
          <a:ext cx="1423851" cy="6477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14</xdr:col>
      <xdr:colOff>0</xdr:colOff>
      <xdr:row>0</xdr:row>
      <xdr:rowOff>0</xdr:rowOff>
    </xdr:from>
    <xdr:to>
      <xdr:col>14</xdr:col>
      <xdr:colOff>711384</xdr:colOff>
      <xdr:row>4</xdr:row>
      <xdr:rowOff>123825</xdr:rowOff>
    </xdr:to>
    <xdr:pic>
      <xdr:nvPicPr>
        <xdr:cNvPr id="3" name="1 Imagen"/>
        <xdr:cNvPicPr/>
      </xdr:nvPicPr>
      <xdr:blipFill>
        <a:blip xmlns:r="http://schemas.openxmlformats.org/officeDocument/2006/relationships" r:embed="rId2" cstate="print"/>
        <a:stretch/>
      </xdr:blipFill>
      <xdr:spPr>
        <a:xfrm>
          <a:off x="13744575" y="0"/>
          <a:ext cx="711384" cy="771525"/>
        </a:xfrm>
        <a:prstGeom prst="rect">
          <a:avLst/>
        </a:prstGeom>
        <a:ln>
          <a:noFill/>
        </a:ln>
        <a:effectLst>
          <a:softEdge rad="112500"/>
        </a:effec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91440</xdr:colOff>
      <xdr:row>0</xdr:row>
      <xdr:rowOff>38100</xdr:rowOff>
    </xdr:from>
    <xdr:to>
      <xdr:col>2</xdr:col>
      <xdr:colOff>144780</xdr:colOff>
      <xdr:row>3</xdr:row>
      <xdr:rowOff>182880</xdr:rowOff>
    </xdr:to>
    <xdr:pic>
      <xdr:nvPicPr>
        <xdr:cNvPr id="13375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" y="38100"/>
          <a:ext cx="1440180" cy="6858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17</xdr:col>
      <xdr:colOff>584933</xdr:colOff>
      <xdr:row>0</xdr:row>
      <xdr:rowOff>0</xdr:rowOff>
    </xdr:from>
    <xdr:to>
      <xdr:col>18</xdr:col>
      <xdr:colOff>609502</xdr:colOff>
      <xdr:row>4</xdr:row>
      <xdr:rowOff>67163</xdr:rowOff>
    </xdr:to>
    <xdr:pic>
      <xdr:nvPicPr>
        <xdr:cNvPr id="5" name="1 Imagen"/>
        <xdr:cNvPicPr/>
      </xdr:nvPicPr>
      <xdr:blipFill>
        <a:blip xmlns:r="http://schemas.openxmlformats.org/officeDocument/2006/relationships" r:embed="rId2" cstate="print"/>
        <a:stretch/>
      </xdr:blipFill>
      <xdr:spPr>
        <a:xfrm>
          <a:off x="12366625" y="0"/>
          <a:ext cx="718185" cy="809625"/>
        </a:xfrm>
        <a:prstGeom prst="rect">
          <a:avLst/>
        </a:prstGeom>
        <a:ln>
          <a:noFill/>
        </a:ln>
        <a:effectLst>
          <a:softEdge rad="112500"/>
        </a:effec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30480</xdr:rowOff>
    </xdr:from>
    <xdr:to>
      <xdr:col>1</xdr:col>
      <xdr:colOff>574040</xdr:colOff>
      <xdr:row>3</xdr:row>
      <xdr:rowOff>175260</xdr:rowOff>
    </xdr:to>
    <xdr:pic>
      <xdr:nvPicPr>
        <xdr:cNvPr id="16427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480"/>
          <a:ext cx="1440180" cy="6858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13</xdr:col>
      <xdr:colOff>631825</xdr:colOff>
      <xdr:row>0</xdr:row>
      <xdr:rowOff>9770</xdr:rowOff>
    </xdr:from>
    <xdr:to>
      <xdr:col>14</xdr:col>
      <xdr:colOff>478595</xdr:colOff>
      <xdr:row>4</xdr:row>
      <xdr:rowOff>73123</xdr:rowOff>
    </xdr:to>
    <xdr:pic>
      <xdr:nvPicPr>
        <xdr:cNvPr id="3" name="1 Imagen"/>
        <xdr:cNvPicPr/>
      </xdr:nvPicPr>
      <xdr:blipFill>
        <a:blip xmlns:r="http://schemas.openxmlformats.org/officeDocument/2006/relationships" r:embed="rId2" cstate="print"/>
        <a:stretch/>
      </xdr:blipFill>
      <xdr:spPr>
        <a:xfrm>
          <a:off x="9639056" y="9770"/>
          <a:ext cx="718185" cy="805815"/>
        </a:xfrm>
        <a:prstGeom prst="rect">
          <a:avLst/>
        </a:prstGeom>
        <a:ln>
          <a:noFill/>
        </a:ln>
        <a:effectLst>
          <a:softEdge rad="112500"/>
        </a:effec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30480</xdr:rowOff>
    </xdr:from>
    <xdr:to>
      <xdr:col>2</xdr:col>
      <xdr:colOff>53340</xdr:colOff>
      <xdr:row>3</xdr:row>
      <xdr:rowOff>175260</xdr:rowOff>
    </xdr:to>
    <xdr:pic>
      <xdr:nvPicPr>
        <xdr:cNvPr id="17447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480"/>
          <a:ext cx="1440180" cy="6858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29</xdr:col>
      <xdr:colOff>623032</xdr:colOff>
      <xdr:row>0</xdr:row>
      <xdr:rowOff>0</xdr:rowOff>
    </xdr:from>
    <xdr:to>
      <xdr:col>30</xdr:col>
      <xdr:colOff>667140</xdr:colOff>
      <xdr:row>4</xdr:row>
      <xdr:rowOff>63353</xdr:rowOff>
    </xdr:to>
    <xdr:pic>
      <xdr:nvPicPr>
        <xdr:cNvPr id="3" name="1 Imagen"/>
        <xdr:cNvPicPr/>
      </xdr:nvPicPr>
      <xdr:blipFill>
        <a:blip xmlns:r="http://schemas.openxmlformats.org/officeDocument/2006/relationships" r:embed="rId2" cstate="print"/>
        <a:stretch/>
      </xdr:blipFill>
      <xdr:spPr>
        <a:xfrm>
          <a:off x="19888932" y="0"/>
          <a:ext cx="704508" cy="799953"/>
        </a:xfrm>
        <a:prstGeom prst="rect">
          <a:avLst/>
        </a:prstGeom>
        <a:ln>
          <a:noFill/>
        </a:ln>
        <a:effectLst>
          <a:softEdge rad="112500"/>
        </a:effec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2"/>
  <sheetViews>
    <sheetView workbookViewId="0">
      <selection activeCell="B9" sqref="B9"/>
    </sheetView>
  </sheetViews>
  <sheetFormatPr baseColWidth="10" defaultRowHeight="14.4" x14ac:dyDescent="0.3"/>
  <cols>
    <col min="1" max="1" width="36.44140625" style="9" customWidth="1"/>
  </cols>
  <sheetData>
    <row r="1" spans="1:1" x14ac:dyDescent="0.3">
      <c r="A1" s="15">
        <v>0</v>
      </c>
    </row>
    <row r="2" spans="1:1" x14ac:dyDescent="0.3">
      <c r="A2" s="15">
        <v>1</v>
      </c>
    </row>
    <row r="3" spans="1:1" x14ac:dyDescent="0.3">
      <c r="A3" s="15">
        <v>2</v>
      </c>
    </row>
    <row r="4" spans="1:1" x14ac:dyDescent="0.3">
      <c r="A4" s="15">
        <v>3</v>
      </c>
    </row>
    <row r="5" spans="1:1" x14ac:dyDescent="0.3">
      <c r="A5" s="15">
        <v>4</v>
      </c>
    </row>
    <row r="6" spans="1:1" x14ac:dyDescent="0.3">
      <c r="A6" s="15">
        <v>5</v>
      </c>
    </row>
    <row r="7" spans="1:1" x14ac:dyDescent="0.3">
      <c r="A7" s="15">
        <v>6</v>
      </c>
    </row>
    <row r="8" spans="1:1" x14ac:dyDescent="0.3">
      <c r="A8" s="15">
        <v>7</v>
      </c>
    </row>
    <row r="9" spans="1:1" x14ac:dyDescent="0.3">
      <c r="A9" s="15">
        <v>8</v>
      </c>
    </row>
    <row r="10" spans="1:1" x14ac:dyDescent="0.3">
      <c r="A10" s="15">
        <v>9</v>
      </c>
    </row>
    <row r="11" spans="1:1" x14ac:dyDescent="0.3">
      <c r="A11" s="15">
        <v>10</v>
      </c>
    </row>
    <row r="12" spans="1:1" x14ac:dyDescent="0.3">
      <c r="A12" s="15">
        <v>11</v>
      </c>
    </row>
    <row r="13" spans="1:1" x14ac:dyDescent="0.3">
      <c r="A13" s="15">
        <v>12</v>
      </c>
    </row>
    <row r="14" spans="1:1" x14ac:dyDescent="0.3">
      <c r="A14" s="15">
        <v>13</v>
      </c>
    </row>
    <row r="15" spans="1:1" x14ac:dyDescent="0.3">
      <c r="A15" s="15">
        <v>14</v>
      </c>
    </row>
    <row r="16" spans="1:1" x14ac:dyDescent="0.3">
      <c r="A16" s="15">
        <v>15</v>
      </c>
    </row>
    <row r="17" spans="1:1" x14ac:dyDescent="0.3">
      <c r="A17" s="15">
        <v>16</v>
      </c>
    </row>
    <row r="18" spans="1:1" x14ac:dyDescent="0.3">
      <c r="A18" s="15">
        <v>17</v>
      </c>
    </row>
    <row r="19" spans="1:1" x14ac:dyDescent="0.3">
      <c r="A19" s="15">
        <v>18</v>
      </c>
    </row>
    <row r="20" spans="1:1" x14ac:dyDescent="0.3">
      <c r="A20" s="15">
        <v>19</v>
      </c>
    </row>
    <row r="21" spans="1:1" x14ac:dyDescent="0.3">
      <c r="A21" s="15">
        <v>20</v>
      </c>
    </row>
    <row r="22" spans="1:1" x14ac:dyDescent="0.3">
      <c r="A22" s="15">
        <v>21</v>
      </c>
    </row>
    <row r="23" spans="1:1" x14ac:dyDescent="0.3">
      <c r="A23" s="15">
        <v>22</v>
      </c>
    </row>
    <row r="24" spans="1:1" x14ac:dyDescent="0.3">
      <c r="A24" s="15">
        <v>23</v>
      </c>
    </row>
    <row r="25" spans="1:1" x14ac:dyDescent="0.3">
      <c r="A25" s="15">
        <v>24</v>
      </c>
    </row>
    <row r="26" spans="1:1" x14ac:dyDescent="0.3">
      <c r="A26" s="15">
        <v>25</v>
      </c>
    </row>
    <row r="27" spans="1:1" x14ac:dyDescent="0.3">
      <c r="A27" s="15"/>
    </row>
    <row r="28" spans="1:1" x14ac:dyDescent="0.3">
      <c r="A28" s="9" t="s">
        <v>36</v>
      </c>
    </row>
    <row r="29" spans="1:1" x14ac:dyDescent="0.3">
      <c r="A29" s="9" t="s">
        <v>38</v>
      </c>
    </row>
    <row r="31" spans="1:1" x14ac:dyDescent="0.3">
      <c r="A31" s="9" t="s">
        <v>83</v>
      </c>
    </row>
    <row r="32" spans="1:1" x14ac:dyDescent="0.3">
      <c r="A32" s="9" t="s">
        <v>73</v>
      </c>
    </row>
    <row r="33" spans="1:1" x14ac:dyDescent="0.3">
      <c r="A33" s="9" t="s">
        <v>194</v>
      </c>
    </row>
    <row r="34" spans="1:1" x14ac:dyDescent="0.3">
      <c r="A34" s="9" t="s">
        <v>90</v>
      </c>
    </row>
    <row r="35" spans="1:1" x14ac:dyDescent="0.3">
      <c r="A35" s="9" t="s">
        <v>91</v>
      </c>
    </row>
    <row r="36" spans="1:1" x14ac:dyDescent="0.3">
      <c r="A36" s="9" t="s">
        <v>92</v>
      </c>
    </row>
    <row r="37" spans="1:1" x14ac:dyDescent="0.3">
      <c r="A37" s="9" t="s">
        <v>93</v>
      </c>
    </row>
    <row r="38" spans="1:1" x14ac:dyDescent="0.3">
      <c r="A38" s="9" t="s">
        <v>94</v>
      </c>
    </row>
    <row r="39" spans="1:1" x14ac:dyDescent="0.3">
      <c r="A39" s="9" t="s">
        <v>195</v>
      </c>
    </row>
    <row r="40" spans="1:1" x14ac:dyDescent="0.3">
      <c r="A40" s="9" t="s">
        <v>95</v>
      </c>
    </row>
    <row r="41" spans="1:1" x14ac:dyDescent="0.3">
      <c r="A41" s="9" t="s">
        <v>96</v>
      </c>
    </row>
    <row r="42" spans="1:1" x14ac:dyDescent="0.3">
      <c r="A42" s="9" t="s">
        <v>97</v>
      </c>
    </row>
    <row r="43" spans="1:1" x14ac:dyDescent="0.3">
      <c r="A43" s="9" t="s">
        <v>98</v>
      </c>
    </row>
    <row r="44" spans="1:1" x14ac:dyDescent="0.3">
      <c r="A44" s="9" t="s">
        <v>99</v>
      </c>
    </row>
    <row r="46" spans="1:1" x14ac:dyDescent="0.3">
      <c r="A46" s="9" t="s">
        <v>41</v>
      </c>
    </row>
    <row r="47" spans="1:1" x14ac:dyDescent="0.3">
      <c r="A47" s="9" t="s">
        <v>42</v>
      </c>
    </row>
    <row r="48" spans="1:1" x14ac:dyDescent="0.3">
      <c r="A48" s="9" t="s">
        <v>43</v>
      </c>
    </row>
    <row r="49" spans="1:4" x14ac:dyDescent="0.3">
      <c r="A49" s="310" t="s">
        <v>196</v>
      </c>
    </row>
    <row r="50" spans="1:4" x14ac:dyDescent="0.3">
      <c r="A50" s="310" t="s">
        <v>186</v>
      </c>
      <c r="B50" s="8"/>
      <c r="C50" s="8"/>
      <c r="D50" s="8"/>
    </row>
    <row r="51" spans="1:4" x14ac:dyDescent="0.3">
      <c r="A51" s="10" t="s">
        <v>47</v>
      </c>
      <c r="B51" s="8"/>
      <c r="C51" s="8"/>
      <c r="D51" s="8"/>
    </row>
    <row r="52" spans="1:4" x14ac:dyDescent="0.3">
      <c r="A52" s="10" t="s">
        <v>37</v>
      </c>
      <c r="B52" s="8"/>
      <c r="C52" s="8"/>
      <c r="D52" s="8"/>
    </row>
    <row r="53" spans="1:4" x14ac:dyDescent="0.3">
      <c r="A53" s="310"/>
      <c r="B53" s="8"/>
      <c r="C53" s="8"/>
      <c r="D53" s="8"/>
    </row>
    <row r="54" spans="1:4" x14ac:dyDescent="0.3">
      <c r="A54" s="9" t="s">
        <v>44</v>
      </c>
    </row>
    <row r="55" spans="1:4" x14ac:dyDescent="0.3">
      <c r="A55" s="9" t="s">
        <v>45</v>
      </c>
    </row>
    <row r="56" spans="1:4" x14ac:dyDescent="0.3">
      <c r="A56" s="9" t="s">
        <v>46</v>
      </c>
    </row>
    <row r="57" spans="1:4" x14ac:dyDescent="0.3">
      <c r="A57" s="9" t="s">
        <v>193</v>
      </c>
    </row>
    <row r="58" spans="1:4" ht="15" customHeight="1" x14ac:dyDescent="0.3">
      <c r="A58" s="12" t="s">
        <v>51</v>
      </c>
      <c r="B58" s="3"/>
      <c r="C58" s="3"/>
      <c r="D58" s="4"/>
    </row>
    <row r="59" spans="1:4" ht="15" customHeight="1" x14ac:dyDescent="0.3">
      <c r="A59" s="14" t="s">
        <v>56</v>
      </c>
      <c r="B59" s="3"/>
      <c r="C59" s="3"/>
      <c r="D59" s="4"/>
    </row>
    <row r="60" spans="1:4" x14ac:dyDescent="0.3">
      <c r="A60" s="12" t="s">
        <v>53</v>
      </c>
    </row>
    <row r="61" spans="1:4" ht="15" customHeight="1" x14ac:dyDescent="0.3">
      <c r="A61" s="12" t="s">
        <v>52</v>
      </c>
      <c r="B61" s="3"/>
      <c r="C61" s="3"/>
      <c r="D61" s="4"/>
    </row>
    <row r="62" spans="1:4" ht="15" customHeight="1" x14ac:dyDescent="0.3">
      <c r="A62" s="14" t="s">
        <v>55</v>
      </c>
      <c r="B62" s="7"/>
      <c r="C62" s="7"/>
      <c r="D62" s="7"/>
    </row>
    <row r="63" spans="1:4" ht="15" customHeight="1" x14ac:dyDescent="0.3">
      <c r="A63" s="11" t="s">
        <v>50</v>
      </c>
      <c r="B63" s="1"/>
      <c r="C63" s="1"/>
      <c r="D63" s="2"/>
    </row>
    <row r="64" spans="1:4" ht="15" customHeight="1" x14ac:dyDescent="0.3">
      <c r="A64" s="11" t="s">
        <v>48</v>
      </c>
      <c r="B64" s="1"/>
      <c r="C64" s="1"/>
      <c r="D64" s="2"/>
    </row>
    <row r="65" spans="1:4" ht="15" customHeight="1" x14ac:dyDescent="0.3">
      <c r="A65" s="11" t="s">
        <v>49</v>
      </c>
      <c r="B65" s="1"/>
      <c r="C65" s="1"/>
      <c r="D65" s="2"/>
    </row>
    <row r="66" spans="1:4" ht="15" customHeight="1" x14ac:dyDescent="0.3">
      <c r="A66" s="14" t="s">
        <v>57</v>
      </c>
      <c r="B66" s="7"/>
      <c r="C66" s="7"/>
      <c r="D66" s="7"/>
    </row>
    <row r="67" spans="1:4" ht="15" customHeight="1" x14ac:dyDescent="0.3">
      <c r="A67" s="13" t="s">
        <v>54</v>
      </c>
      <c r="B67" s="5"/>
      <c r="C67" s="5"/>
      <c r="D67" s="6"/>
    </row>
    <row r="68" spans="1:4" ht="15" customHeight="1" x14ac:dyDescent="0.3">
      <c r="A68" s="14" t="s">
        <v>100</v>
      </c>
      <c r="B68" s="7"/>
      <c r="C68" s="7"/>
      <c r="D68" s="7"/>
    </row>
    <row r="69" spans="1:4" ht="15" customHeight="1" x14ac:dyDescent="0.3">
      <c r="A69" s="14" t="s">
        <v>58</v>
      </c>
      <c r="B69" s="7"/>
      <c r="C69" s="7"/>
      <c r="D69" s="7"/>
    </row>
    <row r="70" spans="1:4" ht="15" customHeight="1" x14ac:dyDescent="0.3">
      <c r="A70" s="14" t="s">
        <v>59</v>
      </c>
      <c r="B70" s="7"/>
      <c r="C70" s="7"/>
      <c r="D70" s="7"/>
    </row>
    <row r="72" spans="1:4" x14ac:dyDescent="0.3">
      <c r="A72" s="9" t="s">
        <v>117</v>
      </c>
    </row>
    <row r="73" spans="1:4" x14ac:dyDescent="0.3">
      <c r="A73" s="9" t="s">
        <v>118</v>
      </c>
    </row>
    <row r="74" spans="1:4" x14ac:dyDescent="0.3">
      <c r="A74" s="9" t="s">
        <v>119</v>
      </c>
    </row>
    <row r="75" spans="1:4" x14ac:dyDescent="0.3">
      <c r="A75" s="9" t="s">
        <v>120</v>
      </c>
    </row>
    <row r="77" spans="1:4" x14ac:dyDescent="0.3">
      <c r="A77" s="9" t="s">
        <v>122</v>
      </c>
    </row>
    <row r="78" spans="1:4" x14ac:dyDescent="0.3">
      <c r="A78" s="9" t="s">
        <v>123</v>
      </c>
    </row>
    <row r="79" spans="1:4" x14ac:dyDescent="0.3">
      <c r="A79" s="9" t="s">
        <v>124</v>
      </c>
    </row>
    <row r="80" spans="1:4" x14ac:dyDescent="0.3">
      <c r="A80" s="9" t="s">
        <v>125</v>
      </c>
    </row>
    <row r="81" spans="1:1" x14ac:dyDescent="0.3">
      <c r="A81" s="9" t="s">
        <v>69</v>
      </c>
    </row>
    <row r="82" spans="1:1" x14ac:dyDescent="0.3">
      <c r="A82" s="9" t="s">
        <v>36</v>
      </c>
    </row>
    <row r="83" spans="1:1" x14ac:dyDescent="0.3">
      <c r="A83" s="9" t="s">
        <v>126</v>
      </c>
    </row>
    <row r="84" spans="1:1" x14ac:dyDescent="0.3">
      <c r="A84" s="9" t="s">
        <v>106</v>
      </c>
    </row>
    <row r="85" spans="1:1" x14ac:dyDescent="0.3">
      <c r="A85" s="9" t="s">
        <v>127</v>
      </c>
    </row>
    <row r="86" spans="1:1" x14ac:dyDescent="0.3">
      <c r="A86" s="9" t="s">
        <v>128</v>
      </c>
    </row>
    <row r="87" spans="1:1" x14ac:dyDescent="0.3">
      <c r="A87" s="9" t="s">
        <v>129</v>
      </c>
    </row>
    <row r="88" spans="1:1" x14ac:dyDescent="0.3">
      <c r="A88" s="9" t="s">
        <v>130</v>
      </c>
    </row>
    <row r="90" spans="1:1" x14ac:dyDescent="0.3">
      <c r="A90" s="9" t="s">
        <v>136</v>
      </c>
    </row>
    <row r="91" spans="1:1" x14ac:dyDescent="0.3">
      <c r="A91" s="9" t="s">
        <v>133</v>
      </c>
    </row>
    <row r="92" spans="1:1" x14ac:dyDescent="0.3">
      <c r="A92" s="9" t="s">
        <v>135</v>
      </c>
    </row>
    <row r="93" spans="1:1" x14ac:dyDescent="0.3">
      <c r="A93" s="9" t="s">
        <v>132</v>
      </c>
    </row>
    <row r="94" spans="1:1" x14ac:dyDescent="0.3">
      <c r="A94" s="9" t="s">
        <v>134</v>
      </c>
    </row>
    <row r="96" spans="1:1" x14ac:dyDescent="0.3">
      <c r="A96" s="9" t="s">
        <v>170</v>
      </c>
    </row>
    <row r="97" spans="1:1" x14ac:dyDescent="0.3">
      <c r="A97" s="9" t="s">
        <v>187</v>
      </c>
    </row>
    <row r="98" spans="1:1" x14ac:dyDescent="0.3">
      <c r="A98" s="9" t="s">
        <v>171</v>
      </c>
    </row>
    <row r="99" spans="1:1" x14ac:dyDescent="0.3">
      <c r="A99" s="9" t="s">
        <v>172</v>
      </c>
    </row>
    <row r="101" spans="1:1" x14ac:dyDescent="0.3">
      <c r="A101" s="310" t="s">
        <v>197</v>
      </c>
    </row>
    <row r="102" spans="1:1" x14ac:dyDescent="0.3">
      <c r="A102" s="310" t="s">
        <v>183</v>
      </c>
    </row>
  </sheetData>
  <sheetProtection algorithmName="SHA-512" hashValue="xSNJP9A1hRF/oYsD6lTVnkllEL3T6fQCn1KrpWj7fThZE1O8YM7HlaFjTlR6aG6obWbgETpi/8Xqy/NjYD4rfg==" saltValue="257+GjVSF0nQ2u/gzkcO4A==" spinCount="100000"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S62"/>
  <sheetViews>
    <sheetView showGridLines="0" view="pageBreakPreview" topLeftCell="A43" zoomScale="86" zoomScaleNormal="80" zoomScaleSheetLayoutView="86" workbookViewId="0">
      <selection activeCell="P54" sqref="P54"/>
    </sheetView>
  </sheetViews>
  <sheetFormatPr baseColWidth="10" defaultColWidth="10.5546875" defaultRowHeight="13.2" x14ac:dyDescent="0.25"/>
  <cols>
    <col min="1" max="1" width="3.5546875" style="16" customWidth="1"/>
    <col min="2" max="2" width="14.44140625" style="17" customWidth="1"/>
    <col min="3" max="10" width="13.6640625" style="17" customWidth="1"/>
    <col min="11" max="14" width="13.6640625" style="18" customWidth="1"/>
    <col min="15" max="16384" width="10.5546875" style="17"/>
  </cols>
  <sheetData>
    <row r="1" spans="1:19" ht="12.75" customHeight="1" x14ac:dyDescent="0.25">
      <c r="A1" s="425" t="s">
        <v>111</v>
      </c>
      <c r="B1" s="425"/>
      <c r="C1" s="425"/>
      <c r="D1" s="425"/>
      <c r="E1" s="425"/>
      <c r="F1" s="425"/>
      <c r="G1" s="425"/>
      <c r="H1" s="425"/>
      <c r="I1" s="425"/>
      <c r="J1" s="425"/>
      <c r="K1" s="425"/>
      <c r="L1" s="425"/>
      <c r="M1" s="425"/>
      <c r="N1" s="425"/>
      <c r="O1" s="116"/>
      <c r="P1" s="116"/>
      <c r="Q1" s="116"/>
      <c r="R1" s="116"/>
      <c r="S1" s="116"/>
    </row>
    <row r="2" spans="1:19" ht="15" customHeight="1" x14ac:dyDescent="0.25">
      <c r="A2" s="426" t="s">
        <v>112</v>
      </c>
      <c r="B2" s="426"/>
      <c r="C2" s="426"/>
      <c r="D2" s="426"/>
      <c r="E2" s="426"/>
      <c r="F2" s="426"/>
      <c r="G2" s="426"/>
      <c r="H2" s="426"/>
      <c r="I2" s="426"/>
      <c r="J2" s="426"/>
      <c r="K2" s="426"/>
      <c r="L2" s="426"/>
      <c r="M2" s="426"/>
      <c r="N2" s="426"/>
      <c r="O2" s="116"/>
      <c r="P2" s="116"/>
      <c r="Q2" s="116"/>
      <c r="R2" s="116"/>
      <c r="S2" s="116"/>
    </row>
    <row r="3" spans="1:19" ht="15" customHeight="1" x14ac:dyDescent="0.25">
      <c r="A3" s="426" t="s">
        <v>113</v>
      </c>
      <c r="B3" s="426"/>
      <c r="C3" s="426"/>
      <c r="D3" s="426"/>
      <c r="E3" s="426"/>
      <c r="F3" s="426"/>
      <c r="G3" s="426"/>
      <c r="H3" s="426"/>
      <c r="I3" s="426"/>
      <c r="J3" s="426"/>
      <c r="K3" s="426"/>
      <c r="L3" s="426"/>
      <c r="M3" s="426"/>
      <c r="N3" s="426"/>
      <c r="O3" s="116"/>
      <c r="P3" s="116"/>
      <c r="Q3" s="116"/>
      <c r="R3" s="116"/>
      <c r="S3" s="116"/>
    </row>
    <row r="4" spans="1:19" ht="15" customHeight="1" x14ac:dyDescent="0.25">
      <c r="A4" s="426" t="s">
        <v>114</v>
      </c>
      <c r="B4" s="426"/>
      <c r="C4" s="426"/>
      <c r="D4" s="426"/>
      <c r="E4" s="426"/>
      <c r="F4" s="426"/>
      <c r="G4" s="426"/>
      <c r="H4" s="426"/>
      <c r="I4" s="426"/>
      <c r="J4" s="426"/>
      <c r="K4" s="426"/>
      <c r="L4" s="426"/>
      <c r="M4" s="426"/>
      <c r="N4" s="426"/>
      <c r="O4" s="116"/>
      <c r="P4" s="116"/>
      <c r="Q4" s="116"/>
      <c r="R4" s="116"/>
      <c r="S4" s="116"/>
    </row>
    <row r="5" spans="1:19" ht="15" customHeight="1" x14ac:dyDescent="0.25">
      <c r="A5" s="426" t="s">
        <v>152</v>
      </c>
      <c r="B5" s="426"/>
      <c r="C5" s="426"/>
      <c r="D5" s="426"/>
      <c r="E5" s="426"/>
      <c r="F5" s="426"/>
      <c r="G5" s="426"/>
      <c r="H5" s="426"/>
      <c r="I5" s="426"/>
      <c r="J5" s="426"/>
      <c r="K5" s="426"/>
      <c r="L5" s="426"/>
      <c r="M5" s="426"/>
      <c r="N5" s="426"/>
      <c r="O5" s="116"/>
      <c r="P5" s="116"/>
      <c r="Q5" s="116"/>
      <c r="R5" s="116"/>
      <c r="S5" s="116"/>
    </row>
    <row r="6" spans="1:19" x14ac:dyDescent="0.25">
      <c r="C6" s="115"/>
      <c r="D6" s="115"/>
      <c r="E6" s="115"/>
      <c r="F6" s="115"/>
      <c r="G6" s="115"/>
      <c r="H6" s="115"/>
      <c r="I6" s="115"/>
      <c r="J6" s="115"/>
      <c r="K6" s="115"/>
      <c r="L6" s="115"/>
      <c r="M6" s="115"/>
      <c r="N6" s="115"/>
      <c r="O6" s="115"/>
      <c r="P6" s="115"/>
      <c r="Q6" s="115"/>
      <c r="R6" s="115"/>
      <c r="S6" s="115"/>
    </row>
    <row r="7" spans="1:19" x14ac:dyDescent="0.25">
      <c r="K7" s="17"/>
      <c r="L7" s="17"/>
      <c r="M7" s="17"/>
      <c r="N7" s="17"/>
    </row>
    <row r="8" spans="1:19" ht="19.95" customHeight="1" x14ac:dyDescent="0.25">
      <c r="A8" s="457" t="s">
        <v>13</v>
      </c>
      <c r="B8" s="457"/>
      <c r="C8" s="457"/>
      <c r="D8" s="457"/>
      <c r="E8" s="457"/>
      <c r="F8" s="457"/>
      <c r="G8" s="457"/>
      <c r="H8" s="457"/>
      <c r="I8" s="457"/>
      <c r="J8" s="457"/>
      <c r="K8" s="457"/>
      <c r="L8" s="457"/>
      <c r="M8" s="457"/>
      <c r="N8" s="457"/>
    </row>
    <row r="9" spans="1:19" ht="19.95" customHeight="1" x14ac:dyDescent="0.25">
      <c r="K9" s="17"/>
      <c r="L9" s="17"/>
      <c r="M9" s="17"/>
      <c r="N9" s="17"/>
    </row>
    <row r="10" spans="1:19" ht="19.95" customHeight="1" x14ac:dyDescent="0.25"/>
    <row r="11" spans="1:19" ht="19.95" customHeight="1" x14ac:dyDescent="0.25">
      <c r="A11" s="457" t="s">
        <v>14</v>
      </c>
      <c r="B11" s="457"/>
      <c r="C11" s="462"/>
      <c r="D11" s="462"/>
      <c r="E11" s="462"/>
      <c r="F11" s="462"/>
      <c r="G11" s="462"/>
      <c r="H11" s="19"/>
      <c r="K11" s="449" t="s">
        <v>39</v>
      </c>
      <c r="L11" s="449"/>
      <c r="M11" s="461"/>
      <c r="N11" s="461"/>
    </row>
    <row r="12" spans="1:19" ht="19.95" customHeight="1" x14ac:dyDescent="0.25">
      <c r="A12" s="457" t="s">
        <v>15</v>
      </c>
      <c r="B12" s="457"/>
      <c r="C12" s="472"/>
      <c r="D12" s="472"/>
      <c r="E12" s="20" t="s">
        <v>0</v>
      </c>
      <c r="F12" s="447"/>
      <c r="G12" s="447"/>
      <c r="K12" s="448" t="s">
        <v>16</v>
      </c>
      <c r="L12" s="448"/>
      <c r="M12" s="461"/>
      <c r="N12" s="461"/>
    </row>
    <row r="13" spans="1:19" ht="19.95" customHeight="1" x14ac:dyDescent="0.25">
      <c r="A13" s="21"/>
      <c r="B13" s="22"/>
      <c r="C13" s="22"/>
      <c r="J13" s="449" t="s">
        <v>40</v>
      </c>
      <c r="K13" s="449"/>
      <c r="L13" s="449"/>
      <c r="M13" s="461"/>
      <c r="N13" s="461"/>
    </row>
    <row r="14" spans="1:19" ht="19.95" customHeight="1" thickBot="1" x14ac:dyDescent="0.3">
      <c r="A14" s="22"/>
      <c r="B14" s="22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</row>
    <row r="15" spans="1:19" ht="25.2" customHeight="1" thickBot="1" x14ac:dyDescent="0.3">
      <c r="A15" s="463" t="s">
        <v>162</v>
      </c>
      <c r="B15" s="464"/>
      <c r="C15" s="432" t="s">
        <v>17</v>
      </c>
      <c r="D15" s="432"/>
      <c r="E15" s="432"/>
      <c r="F15" s="434" t="s">
        <v>18</v>
      </c>
      <c r="G15" s="434"/>
      <c r="H15" s="434"/>
      <c r="I15" s="432" t="s">
        <v>19</v>
      </c>
      <c r="J15" s="432"/>
      <c r="K15" s="432"/>
      <c r="L15" s="433" t="s">
        <v>20</v>
      </c>
      <c r="M15" s="434"/>
      <c r="N15" s="435"/>
    </row>
    <row r="16" spans="1:19" s="29" customFormat="1" ht="25.2" customHeight="1" x14ac:dyDescent="0.25">
      <c r="A16" s="471" t="s">
        <v>21</v>
      </c>
      <c r="B16" s="471"/>
      <c r="C16" s="24" t="s">
        <v>3</v>
      </c>
      <c r="D16" s="25" t="s">
        <v>4</v>
      </c>
      <c r="E16" s="26" t="s">
        <v>5</v>
      </c>
      <c r="F16" s="27" t="s">
        <v>3</v>
      </c>
      <c r="G16" s="25" t="s">
        <v>4</v>
      </c>
      <c r="H16" s="28" t="s">
        <v>5</v>
      </c>
      <c r="I16" s="24" t="s">
        <v>3</v>
      </c>
      <c r="J16" s="25" t="s">
        <v>4</v>
      </c>
      <c r="K16" s="26" t="s">
        <v>5</v>
      </c>
      <c r="L16" s="24" t="s">
        <v>3</v>
      </c>
      <c r="M16" s="28" t="s">
        <v>4</v>
      </c>
      <c r="N16" s="26" t="s">
        <v>5</v>
      </c>
    </row>
    <row r="17" spans="1:14" ht="25.2" customHeight="1" x14ac:dyDescent="0.25">
      <c r="A17" s="450" t="s">
        <v>22</v>
      </c>
      <c r="B17" s="450"/>
      <c r="C17" s="404"/>
      <c r="D17" s="405"/>
      <c r="E17" s="32">
        <f>SUM(C17:D17)</f>
        <v>0</v>
      </c>
      <c r="F17" s="33">
        <v>0</v>
      </c>
      <c r="G17" s="33">
        <v>0</v>
      </c>
      <c r="H17" s="34">
        <f>SUM(F17:G17)</f>
        <v>0</v>
      </c>
      <c r="I17" s="30">
        <v>0</v>
      </c>
      <c r="J17" s="31">
        <v>0</v>
      </c>
      <c r="K17" s="32">
        <f>SUM(I17:J17)</f>
        <v>0</v>
      </c>
      <c r="L17" s="406">
        <f t="shared" ref="L17:M19" si="0">C17+F17-I17</f>
        <v>0</v>
      </c>
      <c r="M17" s="407">
        <f t="shared" si="0"/>
        <v>0</v>
      </c>
      <c r="N17" s="35">
        <f>SUM(L17:M17)</f>
        <v>0</v>
      </c>
    </row>
    <row r="18" spans="1:14" ht="25.2" customHeight="1" x14ac:dyDescent="0.25">
      <c r="A18" s="450" t="s">
        <v>23</v>
      </c>
      <c r="B18" s="450"/>
      <c r="C18" s="404"/>
      <c r="D18" s="405"/>
      <c r="E18" s="32">
        <f>SUM(C18:D18)</f>
        <v>0</v>
      </c>
      <c r="F18" s="33">
        <v>0</v>
      </c>
      <c r="G18" s="33">
        <v>0</v>
      </c>
      <c r="H18" s="32">
        <f>SUM(F18:G18)</f>
        <v>0</v>
      </c>
      <c r="I18" s="30">
        <v>0</v>
      </c>
      <c r="J18" s="31">
        <v>0</v>
      </c>
      <c r="K18" s="32">
        <f>SUM(I18:J18)</f>
        <v>0</v>
      </c>
      <c r="L18" s="406">
        <f t="shared" si="0"/>
        <v>0</v>
      </c>
      <c r="M18" s="407">
        <f t="shared" si="0"/>
        <v>0</v>
      </c>
      <c r="N18" s="35">
        <f>SUM(L18:M18)</f>
        <v>0</v>
      </c>
    </row>
    <row r="19" spans="1:14" ht="25.2" customHeight="1" thickBot="1" x14ac:dyDescent="0.3">
      <c r="A19" s="430" t="s">
        <v>185</v>
      </c>
      <c r="B19" s="430"/>
      <c r="C19" s="409"/>
      <c r="D19" s="410"/>
      <c r="E19" s="38">
        <f>SUM(C19:D19)</f>
        <v>0</v>
      </c>
      <c r="F19" s="39">
        <v>0</v>
      </c>
      <c r="G19" s="39">
        <v>0</v>
      </c>
      <c r="H19" s="40">
        <f>SUM(F19:G19)</f>
        <v>0</v>
      </c>
      <c r="I19" s="36">
        <v>0</v>
      </c>
      <c r="J19" s="37">
        <v>0</v>
      </c>
      <c r="K19" s="38">
        <f>SUM(I19:J19)</f>
        <v>0</v>
      </c>
      <c r="L19" s="415">
        <f t="shared" si="0"/>
        <v>0</v>
      </c>
      <c r="M19" s="416">
        <f t="shared" si="0"/>
        <v>0</v>
      </c>
      <c r="N19" s="41">
        <f>SUM(L19:M19)</f>
        <v>0</v>
      </c>
    </row>
    <row r="20" spans="1:14" ht="25.2" customHeight="1" thickBot="1" x14ac:dyDescent="0.3">
      <c r="A20" s="431" t="s">
        <v>1</v>
      </c>
      <c r="B20" s="431"/>
      <c r="C20" s="42">
        <f t="shared" ref="C20:M20" si="1">SUM(C17:C19)</f>
        <v>0</v>
      </c>
      <c r="D20" s="43">
        <f t="shared" si="1"/>
        <v>0</v>
      </c>
      <c r="E20" s="44">
        <f>SUM(E17:E19)</f>
        <v>0</v>
      </c>
      <c r="F20" s="45">
        <f t="shared" si="1"/>
        <v>0</v>
      </c>
      <c r="G20" s="43">
        <f t="shared" si="1"/>
        <v>0</v>
      </c>
      <c r="H20" s="46">
        <f>SUM(H17:H19)</f>
        <v>0</v>
      </c>
      <c r="I20" s="42">
        <f t="shared" si="1"/>
        <v>0</v>
      </c>
      <c r="J20" s="43">
        <f t="shared" si="1"/>
        <v>0</v>
      </c>
      <c r="K20" s="44">
        <f>SUM(K17:K19)</f>
        <v>0</v>
      </c>
      <c r="L20" s="45">
        <f t="shared" si="1"/>
        <v>0</v>
      </c>
      <c r="M20" s="43">
        <f t="shared" si="1"/>
        <v>0</v>
      </c>
      <c r="N20" s="44">
        <f>SUM(N17:N19)</f>
        <v>0</v>
      </c>
    </row>
    <row r="21" spans="1:14" ht="25.2" customHeight="1" thickBot="1" x14ac:dyDescent="0.3">
      <c r="A21" s="463" t="s">
        <v>163</v>
      </c>
      <c r="B21" s="464"/>
      <c r="C21" s="47"/>
      <c r="D21" s="47"/>
      <c r="E21" s="47"/>
      <c r="F21" s="48"/>
      <c r="G21" s="48"/>
      <c r="H21" s="48"/>
      <c r="I21" s="49"/>
      <c r="J21" s="49"/>
      <c r="K21" s="49"/>
      <c r="L21" s="50"/>
      <c r="M21" s="50"/>
      <c r="N21" s="49"/>
    </row>
    <row r="22" spans="1:14" ht="25.2" customHeight="1" x14ac:dyDescent="0.25">
      <c r="A22" s="451" t="s">
        <v>24</v>
      </c>
      <c r="B22" s="445" t="s">
        <v>2</v>
      </c>
      <c r="C22" s="452" t="s">
        <v>121</v>
      </c>
      <c r="D22" s="445" t="s">
        <v>25</v>
      </c>
      <c r="E22" s="445"/>
      <c r="F22" s="446"/>
      <c r="G22" s="451" t="s">
        <v>26</v>
      </c>
      <c r="H22" s="445"/>
      <c r="I22" s="452"/>
      <c r="J22" s="453" t="s">
        <v>180</v>
      </c>
      <c r="K22" s="445"/>
      <c r="L22" s="446"/>
      <c r="M22" s="438" t="s">
        <v>27</v>
      </c>
      <c r="N22" s="49"/>
    </row>
    <row r="23" spans="1:14" ht="25.2" customHeight="1" thickBot="1" x14ac:dyDescent="0.3">
      <c r="A23" s="454"/>
      <c r="B23" s="455"/>
      <c r="C23" s="456"/>
      <c r="D23" s="367" t="s">
        <v>3</v>
      </c>
      <c r="E23" s="367" t="s">
        <v>4</v>
      </c>
      <c r="F23" s="368" t="s">
        <v>5</v>
      </c>
      <c r="G23" s="369" t="s">
        <v>3</v>
      </c>
      <c r="H23" s="367" t="s">
        <v>4</v>
      </c>
      <c r="I23" s="370" t="s">
        <v>5</v>
      </c>
      <c r="J23" s="371" t="s">
        <v>3</v>
      </c>
      <c r="K23" s="367" t="s">
        <v>4</v>
      </c>
      <c r="L23" s="368" t="s">
        <v>5</v>
      </c>
      <c r="M23" s="439"/>
      <c r="N23" s="49"/>
    </row>
    <row r="24" spans="1:14" ht="25.2" customHeight="1" x14ac:dyDescent="0.25">
      <c r="A24" s="359">
        <v>1</v>
      </c>
      <c r="B24" s="360">
        <v>45446</v>
      </c>
      <c r="C24" s="241" t="s">
        <v>199</v>
      </c>
      <c r="D24" s="361"/>
      <c r="E24" s="361"/>
      <c r="F24" s="362">
        <f t="shared" ref="F24:F46" si="2">SUM(D24:E24)</f>
        <v>0</v>
      </c>
      <c r="G24" s="363"/>
      <c r="H24" s="361"/>
      <c r="I24" s="364">
        <f t="shared" ref="I24:I46" si="3">SUM(G24:H24)</f>
        <v>0</v>
      </c>
      <c r="J24" s="365"/>
      <c r="K24" s="361"/>
      <c r="L24" s="362">
        <f t="shared" ref="L24:L46" si="4">SUM(J24:K24)</f>
        <v>0</v>
      </c>
      <c r="M24" s="366">
        <f>SUM(L24,I24,F24)</f>
        <v>0</v>
      </c>
      <c r="N24" s="49"/>
    </row>
    <row r="25" spans="1:14" ht="25.2" customHeight="1" x14ac:dyDescent="0.25">
      <c r="A25" s="239">
        <v>2</v>
      </c>
      <c r="B25" s="240">
        <v>45447</v>
      </c>
      <c r="C25" s="241" t="s">
        <v>200</v>
      </c>
      <c r="D25" s="361"/>
      <c r="E25" s="361"/>
      <c r="F25" s="34">
        <f t="shared" si="2"/>
        <v>0</v>
      </c>
      <c r="G25" s="363"/>
      <c r="H25" s="361"/>
      <c r="I25" s="32">
        <f t="shared" si="3"/>
        <v>0</v>
      </c>
      <c r="J25" s="365"/>
      <c r="K25" s="361"/>
      <c r="L25" s="34">
        <f t="shared" si="4"/>
        <v>0</v>
      </c>
      <c r="M25" s="300">
        <f t="shared" ref="M25:M46" si="5">SUM(L25,I25,F25)</f>
        <v>0</v>
      </c>
      <c r="N25" s="49"/>
    </row>
    <row r="26" spans="1:14" ht="25.2" customHeight="1" x14ac:dyDescent="0.25">
      <c r="A26" s="239">
        <v>3</v>
      </c>
      <c r="B26" s="240">
        <v>45448</v>
      </c>
      <c r="C26" s="241" t="s">
        <v>201</v>
      </c>
      <c r="D26" s="31"/>
      <c r="E26" s="31"/>
      <c r="F26" s="34">
        <f t="shared" si="2"/>
        <v>0</v>
      </c>
      <c r="G26" s="363"/>
      <c r="H26" s="361"/>
      <c r="I26" s="32">
        <f t="shared" si="3"/>
        <v>0</v>
      </c>
      <c r="J26" s="33"/>
      <c r="K26" s="31"/>
      <c r="L26" s="34">
        <f t="shared" si="4"/>
        <v>0</v>
      </c>
      <c r="M26" s="300">
        <f t="shared" si="5"/>
        <v>0</v>
      </c>
      <c r="N26" s="49"/>
    </row>
    <row r="27" spans="1:14" ht="25.2" customHeight="1" x14ac:dyDescent="0.25">
      <c r="A27" s="239">
        <v>4</v>
      </c>
      <c r="B27" s="240">
        <v>45449</v>
      </c>
      <c r="C27" s="241" t="s">
        <v>202</v>
      </c>
      <c r="D27" s="31"/>
      <c r="E27" s="31"/>
      <c r="F27" s="34">
        <f t="shared" si="2"/>
        <v>0</v>
      </c>
      <c r="G27" s="30"/>
      <c r="H27" s="31"/>
      <c r="I27" s="32">
        <f t="shared" si="3"/>
        <v>0</v>
      </c>
      <c r="J27" s="33"/>
      <c r="K27" s="31"/>
      <c r="L27" s="34">
        <f t="shared" si="4"/>
        <v>0</v>
      </c>
      <c r="M27" s="300">
        <f t="shared" si="5"/>
        <v>0</v>
      </c>
      <c r="N27" s="49"/>
    </row>
    <row r="28" spans="1:14" ht="25.2" customHeight="1" x14ac:dyDescent="0.25">
      <c r="A28" s="239">
        <v>5</v>
      </c>
      <c r="B28" s="240">
        <v>45450</v>
      </c>
      <c r="C28" s="241" t="s">
        <v>203</v>
      </c>
      <c r="D28" s="31"/>
      <c r="E28" s="31"/>
      <c r="F28" s="34">
        <f t="shared" si="2"/>
        <v>0</v>
      </c>
      <c r="G28" s="30"/>
      <c r="H28" s="31"/>
      <c r="I28" s="32">
        <f t="shared" si="3"/>
        <v>0</v>
      </c>
      <c r="J28" s="33"/>
      <c r="K28" s="31"/>
      <c r="L28" s="34">
        <f t="shared" si="4"/>
        <v>0</v>
      </c>
      <c r="M28" s="300">
        <f t="shared" si="5"/>
        <v>0</v>
      </c>
      <c r="N28" s="49"/>
    </row>
    <row r="29" spans="1:14" ht="25.2" customHeight="1" x14ac:dyDescent="0.25">
      <c r="A29" s="239">
        <v>6</v>
      </c>
      <c r="B29" s="240">
        <v>45453</v>
      </c>
      <c r="C29" s="241" t="s">
        <v>199</v>
      </c>
      <c r="D29" s="31"/>
      <c r="E29" s="31"/>
      <c r="F29" s="34">
        <f t="shared" si="2"/>
        <v>0</v>
      </c>
      <c r="G29" s="30"/>
      <c r="H29" s="31"/>
      <c r="I29" s="32">
        <f t="shared" si="3"/>
        <v>0</v>
      </c>
      <c r="J29" s="33"/>
      <c r="K29" s="31"/>
      <c r="L29" s="34">
        <f t="shared" si="4"/>
        <v>0</v>
      </c>
      <c r="M29" s="300">
        <f t="shared" si="5"/>
        <v>0</v>
      </c>
      <c r="N29" s="49"/>
    </row>
    <row r="30" spans="1:14" ht="25.2" customHeight="1" x14ac:dyDescent="0.25">
      <c r="A30" s="239">
        <v>7</v>
      </c>
      <c r="B30" s="240">
        <v>45454</v>
      </c>
      <c r="C30" s="241" t="s">
        <v>200</v>
      </c>
      <c r="D30" s="31"/>
      <c r="E30" s="31"/>
      <c r="F30" s="34">
        <f t="shared" si="2"/>
        <v>0</v>
      </c>
      <c r="G30" s="30"/>
      <c r="H30" s="31"/>
      <c r="I30" s="32">
        <f t="shared" si="3"/>
        <v>0</v>
      </c>
      <c r="J30" s="33"/>
      <c r="K30" s="31"/>
      <c r="L30" s="34">
        <f t="shared" si="4"/>
        <v>0</v>
      </c>
      <c r="M30" s="300">
        <f t="shared" si="5"/>
        <v>0</v>
      </c>
      <c r="N30" s="49"/>
    </row>
    <row r="31" spans="1:14" ht="25.2" customHeight="1" x14ac:dyDescent="0.25">
      <c r="A31" s="239">
        <v>8</v>
      </c>
      <c r="B31" s="240">
        <v>45455</v>
      </c>
      <c r="C31" s="241" t="s">
        <v>201</v>
      </c>
      <c r="D31" s="31"/>
      <c r="E31" s="31"/>
      <c r="F31" s="34">
        <f t="shared" si="2"/>
        <v>0</v>
      </c>
      <c r="G31" s="30"/>
      <c r="H31" s="31"/>
      <c r="I31" s="32">
        <f t="shared" si="3"/>
        <v>0</v>
      </c>
      <c r="J31" s="33"/>
      <c r="K31" s="31"/>
      <c r="L31" s="34">
        <f t="shared" si="4"/>
        <v>0</v>
      </c>
      <c r="M31" s="300">
        <f t="shared" si="5"/>
        <v>0</v>
      </c>
      <c r="N31" s="49"/>
    </row>
    <row r="32" spans="1:14" ht="25.2" customHeight="1" x14ac:dyDescent="0.25">
      <c r="A32" s="239">
        <v>9</v>
      </c>
      <c r="B32" s="240">
        <v>45456</v>
      </c>
      <c r="C32" s="241" t="s">
        <v>202</v>
      </c>
      <c r="D32" s="31"/>
      <c r="E32" s="31"/>
      <c r="F32" s="34">
        <f t="shared" si="2"/>
        <v>0</v>
      </c>
      <c r="G32" s="30"/>
      <c r="H32" s="31"/>
      <c r="I32" s="32">
        <f t="shared" si="3"/>
        <v>0</v>
      </c>
      <c r="J32" s="33"/>
      <c r="K32" s="31"/>
      <c r="L32" s="34">
        <f t="shared" si="4"/>
        <v>0</v>
      </c>
      <c r="M32" s="300">
        <f t="shared" si="5"/>
        <v>0</v>
      </c>
      <c r="N32" s="49"/>
    </row>
    <row r="33" spans="1:14" ht="25.2" customHeight="1" x14ac:dyDescent="0.25">
      <c r="A33" s="239">
        <v>10</v>
      </c>
      <c r="B33" s="240">
        <v>45457</v>
      </c>
      <c r="C33" s="241" t="s">
        <v>203</v>
      </c>
      <c r="D33" s="31"/>
      <c r="E33" s="31"/>
      <c r="F33" s="34">
        <f t="shared" si="2"/>
        <v>0</v>
      </c>
      <c r="G33" s="30"/>
      <c r="H33" s="31"/>
      <c r="I33" s="32">
        <f t="shared" si="3"/>
        <v>0</v>
      </c>
      <c r="J33" s="33"/>
      <c r="K33" s="31"/>
      <c r="L33" s="34">
        <f t="shared" si="4"/>
        <v>0</v>
      </c>
      <c r="M33" s="300">
        <f t="shared" si="5"/>
        <v>0</v>
      </c>
      <c r="N33" s="49"/>
    </row>
    <row r="34" spans="1:14" ht="25.2" customHeight="1" x14ac:dyDescent="0.25">
      <c r="A34" s="239">
        <v>11</v>
      </c>
      <c r="B34" s="240">
        <v>45460</v>
      </c>
      <c r="C34" s="241" t="s">
        <v>199</v>
      </c>
      <c r="D34" s="31"/>
      <c r="E34" s="31"/>
      <c r="F34" s="34">
        <f t="shared" si="2"/>
        <v>0</v>
      </c>
      <c r="G34" s="30"/>
      <c r="H34" s="31"/>
      <c r="I34" s="32">
        <f t="shared" si="3"/>
        <v>0</v>
      </c>
      <c r="J34" s="33"/>
      <c r="K34" s="31"/>
      <c r="L34" s="34">
        <f t="shared" si="4"/>
        <v>0</v>
      </c>
      <c r="M34" s="300">
        <f t="shared" si="5"/>
        <v>0</v>
      </c>
      <c r="N34" s="49"/>
    </row>
    <row r="35" spans="1:14" ht="25.2" customHeight="1" x14ac:dyDescent="0.25">
      <c r="A35" s="239">
        <v>12</v>
      </c>
      <c r="B35" s="240">
        <v>45461</v>
      </c>
      <c r="C35" s="241" t="s">
        <v>200</v>
      </c>
      <c r="D35" s="361"/>
      <c r="E35" s="361"/>
      <c r="F35" s="34">
        <f t="shared" si="2"/>
        <v>0</v>
      </c>
      <c r="G35" s="30"/>
      <c r="H35" s="31"/>
      <c r="I35" s="32">
        <f t="shared" si="3"/>
        <v>0</v>
      </c>
      <c r="J35" s="33"/>
      <c r="K35" s="31"/>
      <c r="L35" s="34">
        <f t="shared" si="4"/>
        <v>0</v>
      </c>
      <c r="M35" s="300">
        <f t="shared" si="5"/>
        <v>0</v>
      </c>
      <c r="N35" s="49"/>
    </row>
    <row r="36" spans="1:14" ht="25.2" customHeight="1" x14ac:dyDescent="0.25">
      <c r="A36" s="239">
        <v>13</v>
      </c>
      <c r="B36" s="240">
        <v>45462</v>
      </c>
      <c r="C36" s="241" t="s">
        <v>201</v>
      </c>
      <c r="D36" s="31"/>
      <c r="E36" s="31"/>
      <c r="F36" s="34">
        <f t="shared" si="2"/>
        <v>0</v>
      </c>
      <c r="G36" s="30"/>
      <c r="H36" s="31"/>
      <c r="I36" s="32">
        <f t="shared" si="3"/>
        <v>0</v>
      </c>
      <c r="J36" s="33"/>
      <c r="K36" s="31"/>
      <c r="L36" s="34">
        <f t="shared" si="4"/>
        <v>0</v>
      </c>
      <c r="M36" s="300">
        <f t="shared" si="5"/>
        <v>0</v>
      </c>
      <c r="N36" s="49"/>
    </row>
    <row r="37" spans="1:14" ht="25.2" customHeight="1" x14ac:dyDescent="0.25">
      <c r="A37" s="239">
        <v>14</v>
      </c>
      <c r="B37" s="240">
        <v>45463</v>
      </c>
      <c r="C37" s="241" t="s">
        <v>202</v>
      </c>
      <c r="D37" s="31"/>
      <c r="E37" s="31"/>
      <c r="F37" s="34">
        <f t="shared" si="2"/>
        <v>0</v>
      </c>
      <c r="G37" s="30"/>
      <c r="H37" s="31"/>
      <c r="I37" s="32">
        <f t="shared" si="3"/>
        <v>0</v>
      </c>
      <c r="J37" s="33"/>
      <c r="K37" s="31"/>
      <c r="L37" s="34">
        <f t="shared" si="4"/>
        <v>0</v>
      </c>
      <c r="M37" s="300">
        <f t="shared" si="5"/>
        <v>0</v>
      </c>
      <c r="N37" s="49"/>
    </row>
    <row r="38" spans="1:14" ht="25.2" customHeight="1" x14ac:dyDescent="0.25">
      <c r="A38" s="239">
        <v>15</v>
      </c>
      <c r="B38" s="240">
        <v>45464</v>
      </c>
      <c r="C38" s="241" t="s">
        <v>203</v>
      </c>
      <c r="D38" s="31"/>
      <c r="E38" s="31"/>
      <c r="F38" s="34">
        <f t="shared" si="2"/>
        <v>0</v>
      </c>
      <c r="G38" s="30"/>
      <c r="H38" s="31"/>
      <c r="I38" s="32">
        <f t="shared" si="3"/>
        <v>0</v>
      </c>
      <c r="J38" s="33"/>
      <c r="K38" s="31"/>
      <c r="L38" s="34">
        <f t="shared" si="4"/>
        <v>0</v>
      </c>
      <c r="M38" s="300">
        <f t="shared" si="5"/>
        <v>0</v>
      </c>
      <c r="N38" s="49"/>
    </row>
    <row r="39" spans="1:14" ht="25.2" customHeight="1" x14ac:dyDescent="0.25">
      <c r="A39" s="239">
        <v>16</v>
      </c>
      <c r="B39" s="240">
        <v>45468</v>
      </c>
      <c r="C39" s="241" t="s">
        <v>200</v>
      </c>
      <c r="D39" s="31"/>
      <c r="E39" s="31"/>
      <c r="F39" s="34">
        <f t="shared" si="2"/>
        <v>0</v>
      </c>
      <c r="G39" s="31"/>
      <c r="H39" s="31"/>
      <c r="I39" s="32">
        <f t="shared" si="3"/>
        <v>0</v>
      </c>
      <c r="J39" s="31"/>
      <c r="K39" s="31"/>
      <c r="L39" s="34">
        <f t="shared" si="4"/>
        <v>0</v>
      </c>
      <c r="M39" s="300">
        <f t="shared" si="5"/>
        <v>0</v>
      </c>
      <c r="N39" s="49"/>
    </row>
    <row r="40" spans="1:14" ht="25.2" customHeight="1" x14ac:dyDescent="0.25">
      <c r="A40" s="239">
        <v>17</v>
      </c>
      <c r="B40" s="240">
        <v>45469</v>
      </c>
      <c r="C40" s="241" t="s">
        <v>201</v>
      </c>
      <c r="D40" s="31"/>
      <c r="E40" s="31"/>
      <c r="F40" s="34">
        <f t="shared" si="2"/>
        <v>0</v>
      </c>
      <c r="G40" s="30"/>
      <c r="H40" s="31"/>
      <c r="I40" s="32">
        <f t="shared" si="3"/>
        <v>0</v>
      </c>
      <c r="J40" s="33"/>
      <c r="K40" s="31"/>
      <c r="L40" s="34">
        <f t="shared" si="4"/>
        <v>0</v>
      </c>
      <c r="M40" s="300">
        <f t="shared" si="5"/>
        <v>0</v>
      </c>
      <c r="N40" s="49"/>
    </row>
    <row r="41" spans="1:14" ht="25.2" customHeight="1" x14ac:dyDescent="0.25">
      <c r="A41" s="239">
        <v>18</v>
      </c>
      <c r="B41" s="240">
        <v>45470</v>
      </c>
      <c r="C41" s="241" t="s">
        <v>202</v>
      </c>
      <c r="D41" s="31"/>
      <c r="E41" s="31"/>
      <c r="F41" s="34">
        <f t="shared" si="2"/>
        <v>0</v>
      </c>
      <c r="G41" s="30"/>
      <c r="H41" s="31"/>
      <c r="I41" s="32">
        <f t="shared" si="3"/>
        <v>0</v>
      </c>
      <c r="J41" s="33"/>
      <c r="K41" s="31"/>
      <c r="L41" s="34">
        <f t="shared" si="4"/>
        <v>0</v>
      </c>
      <c r="M41" s="300">
        <f t="shared" si="5"/>
        <v>0</v>
      </c>
      <c r="N41" s="49"/>
    </row>
    <row r="42" spans="1:14" ht="25.2" customHeight="1" x14ac:dyDescent="0.25">
      <c r="A42" s="239">
        <v>19</v>
      </c>
      <c r="B42" s="240">
        <v>45471</v>
      </c>
      <c r="C42" s="241" t="s">
        <v>203</v>
      </c>
      <c r="D42" s="31"/>
      <c r="E42" s="31"/>
      <c r="F42" s="34">
        <f t="shared" si="2"/>
        <v>0</v>
      </c>
      <c r="G42" s="30"/>
      <c r="H42" s="31"/>
      <c r="I42" s="32">
        <f t="shared" si="3"/>
        <v>0</v>
      </c>
      <c r="J42" s="33"/>
      <c r="K42" s="31"/>
      <c r="L42" s="34">
        <f t="shared" si="4"/>
        <v>0</v>
      </c>
      <c r="M42" s="300">
        <f t="shared" si="5"/>
        <v>0</v>
      </c>
      <c r="N42" s="49"/>
    </row>
    <row r="43" spans="1:14" ht="25.2" customHeight="1" x14ac:dyDescent="0.25">
      <c r="A43" s="239">
        <v>20</v>
      </c>
      <c r="B43" s="240"/>
      <c r="C43" s="241"/>
      <c r="D43" s="31"/>
      <c r="E43" s="31"/>
      <c r="F43" s="34">
        <f t="shared" si="2"/>
        <v>0</v>
      </c>
      <c r="G43" s="31"/>
      <c r="H43" s="31"/>
      <c r="I43" s="32">
        <f t="shared" si="3"/>
        <v>0</v>
      </c>
      <c r="J43" s="33"/>
      <c r="K43" s="31"/>
      <c r="L43" s="34">
        <f t="shared" si="4"/>
        <v>0</v>
      </c>
      <c r="M43" s="300">
        <f t="shared" si="5"/>
        <v>0</v>
      </c>
      <c r="N43" s="49"/>
    </row>
    <row r="44" spans="1:14" ht="25.2" customHeight="1" x14ac:dyDescent="0.25">
      <c r="A44" s="239">
        <v>21</v>
      </c>
      <c r="B44" s="240"/>
      <c r="C44" s="241"/>
      <c r="D44" s="31"/>
      <c r="E44" s="31"/>
      <c r="F44" s="34">
        <f t="shared" si="2"/>
        <v>0</v>
      </c>
      <c r="G44" s="30"/>
      <c r="H44" s="31"/>
      <c r="I44" s="32">
        <f t="shared" si="3"/>
        <v>0</v>
      </c>
      <c r="J44" s="31"/>
      <c r="K44" s="31"/>
      <c r="L44" s="34">
        <f t="shared" si="4"/>
        <v>0</v>
      </c>
      <c r="M44" s="300">
        <f t="shared" si="5"/>
        <v>0</v>
      </c>
      <c r="N44" s="49"/>
    </row>
    <row r="45" spans="1:14" ht="25.2" customHeight="1" thickBot="1" x14ac:dyDescent="0.3">
      <c r="A45" s="239">
        <v>22</v>
      </c>
      <c r="B45" s="240"/>
      <c r="C45" s="241"/>
      <c r="D45" s="31"/>
      <c r="E45" s="31"/>
      <c r="F45" s="34">
        <f t="shared" si="2"/>
        <v>0</v>
      </c>
      <c r="G45" s="306"/>
      <c r="H45" s="237"/>
      <c r="I45" s="32">
        <f t="shared" si="3"/>
        <v>0</v>
      </c>
      <c r="J45" s="33"/>
      <c r="K45" s="31"/>
      <c r="L45" s="34">
        <f t="shared" si="4"/>
        <v>0</v>
      </c>
      <c r="M45" s="300">
        <f t="shared" si="5"/>
        <v>0</v>
      </c>
      <c r="N45" s="49"/>
    </row>
    <row r="46" spans="1:14" ht="25.2" customHeight="1" thickBot="1" x14ac:dyDescent="0.3">
      <c r="A46" s="242">
        <v>23</v>
      </c>
      <c r="B46" s="240"/>
      <c r="C46" s="241"/>
      <c r="D46" s="31"/>
      <c r="E46" s="31"/>
      <c r="F46" s="299">
        <f t="shared" si="2"/>
        <v>0</v>
      </c>
      <c r="G46" s="306"/>
      <c r="H46" s="237"/>
      <c r="I46" s="238">
        <f t="shared" si="3"/>
        <v>0</v>
      </c>
      <c r="J46" s="302"/>
      <c r="K46" s="237"/>
      <c r="L46" s="299">
        <f t="shared" si="4"/>
        <v>0</v>
      </c>
      <c r="M46" s="301">
        <f t="shared" si="5"/>
        <v>0</v>
      </c>
      <c r="N46" s="49"/>
    </row>
    <row r="47" spans="1:14" ht="25.2" customHeight="1" thickBot="1" x14ac:dyDescent="0.3">
      <c r="A47" s="465" t="s">
        <v>6</v>
      </c>
      <c r="B47" s="466"/>
      <c r="C47" s="467"/>
      <c r="D47" s="42">
        <f t="shared" ref="D47:L47" si="6">SUM(D24:D46)</f>
        <v>0</v>
      </c>
      <c r="E47" s="46">
        <f t="shared" si="6"/>
        <v>0</v>
      </c>
      <c r="F47" s="46">
        <f t="shared" si="6"/>
        <v>0</v>
      </c>
      <c r="G47" s="42">
        <f t="shared" si="6"/>
        <v>0</v>
      </c>
      <c r="H47" s="46">
        <f t="shared" si="6"/>
        <v>0</v>
      </c>
      <c r="I47" s="44">
        <f>SUM(I24:I46)</f>
        <v>0</v>
      </c>
      <c r="J47" s="303">
        <f>SUM(J24:J46)</f>
        <v>0</v>
      </c>
      <c r="K47" s="125">
        <f>SUM(K24:K46)</f>
        <v>0</v>
      </c>
      <c r="L47" s="46">
        <f t="shared" si="6"/>
        <v>0</v>
      </c>
      <c r="M47" s="51">
        <f>SUM(M24:M46)</f>
        <v>0</v>
      </c>
      <c r="N47" s="49"/>
    </row>
    <row r="48" spans="1:14" ht="25.2" customHeight="1" x14ac:dyDescent="0.25">
      <c r="A48" s="468" t="s">
        <v>28</v>
      </c>
      <c r="B48" s="469"/>
      <c r="C48" s="470"/>
      <c r="D48" s="52" t="e">
        <f>D47/M13</f>
        <v>#DIV/0!</v>
      </c>
      <c r="E48" s="53" t="e">
        <f>E47/M13</f>
        <v>#DIV/0!</v>
      </c>
      <c r="F48" s="53" t="e">
        <f>F47/M13</f>
        <v>#DIV/0!</v>
      </c>
      <c r="G48" s="52" t="e">
        <f>G47/M13</f>
        <v>#DIV/0!</v>
      </c>
      <c r="H48" s="53" t="e">
        <f>H47/M13</f>
        <v>#DIV/0!</v>
      </c>
      <c r="I48" s="54" t="e">
        <f>I47/M13</f>
        <v>#DIV/0!</v>
      </c>
      <c r="J48" s="304" t="e">
        <f>J47/M13</f>
        <v>#DIV/0!</v>
      </c>
      <c r="K48" s="55" t="e">
        <f>K47/M13</f>
        <v>#DIV/0!</v>
      </c>
      <c r="L48" s="53" t="e">
        <f>L47/M13</f>
        <v>#DIV/0!</v>
      </c>
      <c r="M48" s="56" t="e">
        <f>M47/M13</f>
        <v>#DIV/0!</v>
      </c>
      <c r="N48" s="49"/>
    </row>
    <row r="49" spans="1:14" ht="25.2" customHeight="1" thickBot="1" x14ac:dyDescent="0.3">
      <c r="A49" s="458" t="s">
        <v>29</v>
      </c>
      <c r="B49" s="459"/>
      <c r="C49" s="460"/>
      <c r="D49" s="57" t="e">
        <f>D48*100/L17</f>
        <v>#DIV/0!</v>
      </c>
      <c r="E49" s="58" t="e">
        <f>E48*100/M17</f>
        <v>#DIV/0!</v>
      </c>
      <c r="F49" s="58" t="e">
        <f>F48*100/N17</f>
        <v>#DIV/0!</v>
      </c>
      <c r="G49" s="57" t="e">
        <f>G48*100/L18</f>
        <v>#DIV/0!</v>
      </c>
      <c r="H49" s="58" t="e">
        <f>H48*100/M18</f>
        <v>#DIV/0!</v>
      </c>
      <c r="I49" s="59" t="e">
        <f>I48*100/N18</f>
        <v>#DIV/0!</v>
      </c>
      <c r="J49" s="305" t="e">
        <f>J48*100/L19</f>
        <v>#DIV/0!</v>
      </c>
      <c r="K49" s="58" t="e">
        <f>K48*100/M19</f>
        <v>#DIV/0!</v>
      </c>
      <c r="L49" s="58" t="e">
        <f>L48*100/N19</f>
        <v>#DIV/0!</v>
      </c>
      <c r="M49" s="60" t="e">
        <f>M48*100/N20</f>
        <v>#DIV/0!</v>
      </c>
      <c r="N49" s="49"/>
    </row>
    <row r="50" spans="1:14" ht="25.2" customHeight="1" x14ac:dyDescent="0.25"/>
    <row r="51" spans="1:14" s="49" customFormat="1" ht="25.2" customHeight="1" x14ac:dyDescent="0.3">
      <c r="A51" s="444" t="s">
        <v>189</v>
      </c>
      <c r="B51" s="444"/>
      <c r="C51" s="436"/>
      <c r="D51" s="436"/>
      <c r="E51" s="436"/>
      <c r="F51" s="436"/>
      <c r="G51" s="436"/>
      <c r="H51" s="436"/>
      <c r="I51" s="436"/>
      <c r="J51" s="436"/>
      <c r="K51" s="436"/>
      <c r="L51" s="436"/>
      <c r="M51" s="436"/>
      <c r="N51" s="436"/>
    </row>
    <row r="52" spans="1:14" s="49" customFormat="1" ht="25.2" customHeight="1" x14ac:dyDescent="0.3">
      <c r="A52" s="436"/>
      <c r="B52" s="436"/>
      <c r="C52" s="436"/>
      <c r="D52" s="436"/>
      <c r="E52" s="436"/>
      <c r="F52" s="436"/>
      <c r="G52" s="436"/>
      <c r="H52" s="436"/>
      <c r="I52" s="436"/>
      <c r="J52" s="436"/>
      <c r="K52" s="436"/>
      <c r="L52" s="436"/>
      <c r="M52" s="436"/>
      <c r="N52" s="436"/>
    </row>
    <row r="53" spans="1:14" s="49" customFormat="1" ht="25.2" customHeight="1" x14ac:dyDescent="0.3">
      <c r="A53" s="437"/>
      <c r="B53" s="437"/>
      <c r="C53" s="437"/>
      <c r="D53" s="437"/>
      <c r="E53" s="437"/>
      <c r="F53" s="437"/>
      <c r="G53" s="437"/>
      <c r="H53" s="437"/>
      <c r="I53" s="437"/>
      <c r="J53" s="437"/>
      <c r="K53" s="437"/>
      <c r="L53" s="437"/>
      <c r="M53" s="437"/>
      <c r="N53" s="437"/>
    </row>
    <row r="54" spans="1:14" s="49" customFormat="1" ht="25.2" customHeight="1" x14ac:dyDescent="0.3">
      <c r="A54" s="437"/>
      <c r="B54" s="437"/>
      <c r="C54" s="437"/>
      <c r="D54" s="437"/>
      <c r="E54" s="437"/>
      <c r="F54" s="437"/>
      <c r="G54" s="437"/>
      <c r="H54" s="437"/>
      <c r="I54" s="437"/>
      <c r="J54" s="437"/>
      <c r="K54" s="437"/>
      <c r="L54" s="437"/>
      <c r="M54" s="437"/>
      <c r="N54" s="437"/>
    </row>
    <row r="55" spans="1:14" s="49" customFormat="1" ht="25.2" customHeight="1" x14ac:dyDescent="0.3">
      <c r="A55" s="437"/>
      <c r="B55" s="437"/>
      <c r="C55" s="437"/>
      <c r="D55" s="437"/>
      <c r="E55" s="437"/>
      <c r="F55" s="437"/>
      <c r="G55" s="437"/>
      <c r="H55" s="437"/>
      <c r="I55" s="437"/>
      <c r="J55" s="437"/>
      <c r="K55" s="437"/>
      <c r="L55" s="437"/>
      <c r="M55" s="437"/>
      <c r="N55" s="437"/>
    </row>
    <row r="56" spans="1:14" s="49" customFormat="1" ht="25.2" customHeight="1" x14ac:dyDescent="0.3">
      <c r="A56" s="437"/>
      <c r="B56" s="437"/>
      <c r="C56" s="437"/>
      <c r="D56" s="437"/>
      <c r="E56" s="437"/>
      <c r="F56" s="437"/>
      <c r="G56" s="437"/>
      <c r="H56" s="437"/>
      <c r="I56" s="437"/>
      <c r="J56" s="437"/>
      <c r="K56" s="437"/>
      <c r="L56" s="437"/>
      <c r="M56" s="437"/>
      <c r="N56" s="437"/>
    </row>
    <row r="57" spans="1:14" s="49" customFormat="1" ht="25.2" customHeight="1" x14ac:dyDescent="0.3">
      <c r="A57" s="437"/>
      <c r="B57" s="437"/>
      <c r="C57" s="437"/>
      <c r="D57" s="437"/>
      <c r="E57" s="437"/>
      <c r="F57" s="437"/>
      <c r="G57" s="437"/>
      <c r="H57" s="437"/>
      <c r="I57" s="437"/>
      <c r="J57" s="437"/>
      <c r="K57" s="437"/>
      <c r="L57" s="437"/>
      <c r="M57" s="437"/>
      <c r="N57" s="437"/>
    </row>
    <row r="58" spans="1:14" ht="25.2" customHeight="1" x14ac:dyDescent="0.25"/>
    <row r="59" spans="1:14" ht="25.2" customHeight="1" x14ac:dyDescent="0.25">
      <c r="A59" s="428" t="s">
        <v>192</v>
      </c>
      <c r="B59" s="428"/>
      <c r="C59" s="428"/>
      <c r="D59" s="429"/>
      <c r="E59" s="429"/>
      <c r="F59" s="429"/>
      <c r="G59" s="80"/>
      <c r="H59" s="259"/>
      <c r="I59" s="259"/>
      <c r="J59" s="443" t="s">
        <v>188</v>
      </c>
      <c r="K59" s="443"/>
      <c r="L59" s="427"/>
      <c r="M59" s="427"/>
      <c r="N59" s="427"/>
    </row>
    <row r="60" spans="1:14" ht="25.2" customHeight="1" x14ac:dyDescent="0.25">
      <c r="A60" s="428" t="s">
        <v>33</v>
      </c>
      <c r="B60" s="428"/>
      <c r="C60" s="428"/>
      <c r="D60" s="441"/>
      <c r="E60" s="442"/>
      <c r="F60" s="442"/>
      <c r="G60" s="80"/>
      <c r="H60" s="259"/>
      <c r="I60" s="259"/>
      <c r="J60" s="443" t="s">
        <v>191</v>
      </c>
      <c r="K60" s="443"/>
      <c r="L60" s="427"/>
      <c r="M60" s="427"/>
      <c r="N60" s="427"/>
    </row>
    <row r="61" spans="1:14" ht="25.2" customHeight="1" x14ac:dyDescent="0.25">
      <c r="A61" s="428" t="s">
        <v>34</v>
      </c>
      <c r="B61" s="428"/>
      <c r="C61" s="428"/>
      <c r="D61" s="442"/>
      <c r="E61" s="442"/>
      <c r="F61" s="442"/>
      <c r="G61" s="80"/>
      <c r="H61" s="259"/>
      <c r="I61" s="259"/>
      <c r="J61" s="443" t="s">
        <v>190</v>
      </c>
      <c r="K61" s="443"/>
      <c r="L61" s="358"/>
      <c r="M61" s="358"/>
      <c r="N61" s="358"/>
    </row>
    <row r="62" spans="1:14" ht="25.2" customHeight="1" x14ac:dyDescent="0.25">
      <c r="A62" s="428" t="s">
        <v>35</v>
      </c>
      <c r="B62" s="428"/>
      <c r="C62" s="428"/>
      <c r="D62" s="440"/>
      <c r="E62" s="440"/>
      <c r="F62" s="440"/>
      <c r="G62" s="135"/>
      <c r="H62" s="259"/>
      <c r="I62" s="259"/>
      <c r="J62" s="134"/>
      <c r="L62" s="80"/>
      <c r="M62" s="80"/>
      <c r="N62" s="80"/>
    </row>
  </sheetData>
  <sheetProtection algorithmName="SHA-512" hashValue="lD39Hv3258B9GzLMivyWo1AOXJZYrqweQrECz0XuYq5ifL+QeoUzDP4CaQvrajR7pqa1S4DKk8eAqCUONP7Bvg==" saltValue="y4pZ+zczIv4nFdeCBvms9A==" spinCount="100000" sheet="1" formatCells="0" formatColumns="0" formatRows="0"/>
  <mergeCells count="59">
    <mergeCell ref="A8:N8"/>
    <mergeCell ref="A49:C49"/>
    <mergeCell ref="M11:N11"/>
    <mergeCell ref="M13:N13"/>
    <mergeCell ref="M12:N12"/>
    <mergeCell ref="A11:B11"/>
    <mergeCell ref="C11:G11"/>
    <mergeCell ref="A12:B12"/>
    <mergeCell ref="J13:L13"/>
    <mergeCell ref="A21:B21"/>
    <mergeCell ref="A47:C47"/>
    <mergeCell ref="A48:C48"/>
    <mergeCell ref="F15:H15"/>
    <mergeCell ref="A15:B15"/>
    <mergeCell ref="A16:B16"/>
    <mergeCell ref="C12:D12"/>
    <mergeCell ref="F12:G12"/>
    <mergeCell ref="K12:L12"/>
    <mergeCell ref="K11:L11"/>
    <mergeCell ref="A18:B18"/>
    <mergeCell ref="G22:I22"/>
    <mergeCell ref="C15:E15"/>
    <mergeCell ref="J22:L22"/>
    <mergeCell ref="A22:A23"/>
    <mergeCell ref="B22:B23"/>
    <mergeCell ref="C22:C23"/>
    <mergeCell ref="A17:B17"/>
    <mergeCell ref="M22:M23"/>
    <mergeCell ref="A62:C62"/>
    <mergeCell ref="D62:F62"/>
    <mergeCell ref="A60:C60"/>
    <mergeCell ref="D60:F60"/>
    <mergeCell ref="A61:C61"/>
    <mergeCell ref="D61:F61"/>
    <mergeCell ref="J59:K59"/>
    <mergeCell ref="J60:K60"/>
    <mergeCell ref="L60:N60"/>
    <mergeCell ref="J61:K61"/>
    <mergeCell ref="A52:N52"/>
    <mergeCell ref="A54:N54"/>
    <mergeCell ref="A55:N55"/>
    <mergeCell ref="A51:B51"/>
    <mergeCell ref="D22:F22"/>
    <mergeCell ref="A1:N1"/>
    <mergeCell ref="A5:N5"/>
    <mergeCell ref="A4:N4"/>
    <mergeCell ref="A3:N3"/>
    <mergeCell ref="L59:N59"/>
    <mergeCell ref="A59:C59"/>
    <mergeCell ref="D59:F59"/>
    <mergeCell ref="A19:B19"/>
    <mergeCell ref="A20:B20"/>
    <mergeCell ref="A2:N2"/>
    <mergeCell ref="I15:K15"/>
    <mergeCell ref="L15:N15"/>
    <mergeCell ref="C51:N51"/>
    <mergeCell ref="A57:N57"/>
    <mergeCell ref="A56:N56"/>
    <mergeCell ref="A53:N53"/>
  </mergeCells>
  <pageMargins left="0.78740157480314965" right="0.59055118110236227" top="0.78740157480314965" bottom="0.39370078740157483" header="0.31496062992125984" footer="0.51181102362204722"/>
  <pageSetup scale="49" firstPageNumber="0" orientation="portrait" horizontalDpi="300" verticalDpi="300" r:id="rId1"/>
  <headerFooter alignWithMargins="0"/>
  <ignoredErrors>
    <ignoredError sqref="D49:M49 D48:M48" evalError="1"/>
  </ignoredError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B0F0"/>
  </sheetPr>
  <dimension ref="A1:N61"/>
  <sheetViews>
    <sheetView showGridLines="0" view="pageBreakPreview" topLeftCell="A2" zoomScale="80" zoomScaleNormal="80" zoomScaleSheetLayoutView="80" workbookViewId="0">
      <selection activeCell="Q16" sqref="Q16"/>
    </sheetView>
  </sheetViews>
  <sheetFormatPr baseColWidth="10" defaultColWidth="10.5546875" defaultRowHeight="13.2" x14ac:dyDescent="0.25"/>
  <cols>
    <col min="1" max="1" width="3.5546875" style="16" customWidth="1"/>
    <col min="2" max="2" width="15.88671875" style="17" customWidth="1"/>
    <col min="3" max="6" width="13.6640625" style="17" customWidth="1"/>
    <col min="7" max="10" width="14.6640625" style="17" customWidth="1"/>
    <col min="11" max="14" width="13.6640625" style="18" customWidth="1"/>
    <col min="15" max="16384" width="10.5546875" style="17"/>
  </cols>
  <sheetData>
    <row r="1" spans="1:14" ht="15.75" customHeight="1" x14ac:dyDescent="0.25">
      <c r="A1" s="503" t="s">
        <v>111</v>
      </c>
      <c r="B1" s="503"/>
      <c r="C1" s="503"/>
      <c r="D1" s="503"/>
      <c r="E1" s="503"/>
      <c r="F1" s="503"/>
      <c r="G1" s="503"/>
      <c r="H1" s="503"/>
      <c r="I1" s="503"/>
      <c r="J1" s="503"/>
      <c r="K1" s="503"/>
      <c r="L1" s="503"/>
      <c r="M1" s="503"/>
      <c r="N1" s="503"/>
    </row>
    <row r="2" spans="1:14" ht="15" customHeight="1" x14ac:dyDescent="0.25">
      <c r="A2" s="444" t="s">
        <v>112</v>
      </c>
      <c r="B2" s="444"/>
      <c r="C2" s="444"/>
      <c r="D2" s="444"/>
      <c r="E2" s="444"/>
      <c r="F2" s="444"/>
      <c r="G2" s="444"/>
      <c r="H2" s="444"/>
      <c r="I2" s="444"/>
      <c r="J2" s="444"/>
      <c r="K2" s="444"/>
      <c r="L2" s="444"/>
      <c r="M2" s="444"/>
      <c r="N2" s="444"/>
    </row>
    <row r="3" spans="1:14" ht="15" customHeight="1" x14ac:dyDescent="0.25">
      <c r="A3" s="444" t="s">
        <v>113</v>
      </c>
      <c r="B3" s="444"/>
      <c r="C3" s="444"/>
      <c r="D3" s="444"/>
      <c r="E3" s="444"/>
      <c r="F3" s="444"/>
      <c r="G3" s="444"/>
      <c r="H3" s="444"/>
      <c r="I3" s="444"/>
      <c r="J3" s="444"/>
      <c r="K3" s="444"/>
      <c r="L3" s="444"/>
      <c r="M3" s="444"/>
      <c r="N3" s="444"/>
    </row>
    <row r="4" spans="1:14" ht="15" customHeight="1" x14ac:dyDescent="0.25">
      <c r="A4" s="444" t="s">
        <v>114</v>
      </c>
      <c r="B4" s="444"/>
      <c r="C4" s="444"/>
      <c r="D4" s="444"/>
      <c r="E4" s="444"/>
      <c r="F4" s="444"/>
      <c r="G4" s="444"/>
      <c r="H4" s="444"/>
      <c r="I4" s="444"/>
      <c r="J4" s="444"/>
      <c r="K4" s="444"/>
      <c r="L4" s="444"/>
      <c r="M4" s="444"/>
      <c r="N4" s="444"/>
    </row>
    <row r="5" spans="1:14" ht="15" customHeight="1" x14ac:dyDescent="0.25">
      <c r="A5" s="444" t="s">
        <v>115</v>
      </c>
      <c r="B5" s="444"/>
      <c r="C5" s="444"/>
      <c r="D5" s="444"/>
      <c r="E5" s="444"/>
      <c r="F5" s="444"/>
      <c r="G5" s="444"/>
      <c r="H5" s="444"/>
      <c r="I5" s="444"/>
      <c r="J5" s="444"/>
      <c r="K5" s="444"/>
      <c r="L5" s="444"/>
      <c r="M5" s="444"/>
      <c r="N5" s="444"/>
    </row>
    <row r="6" spans="1:14" ht="15" customHeight="1" x14ac:dyDescent="0.25">
      <c r="C6" s="49"/>
      <c r="D6" s="49"/>
      <c r="E6" s="49"/>
      <c r="F6" s="49"/>
      <c r="G6" s="49"/>
      <c r="H6" s="49"/>
      <c r="I6" s="49"/>
      <c r="J6" s="49"/>
      <c r="K6" s="49"/>
      <c r="L6" s="49"/>
      <c r="M6" s="49"/>
      <c r="N6" s="49"/>
    </row>
    <row r="7" spans="1:14" ht="15" customHeight="1" x14ac:dyDescent="0.25">
      <c r="K7" s="17"/>
      <c r="L7" s="17"/>
      <c r="M7" s="17"/>
      <c r="N7" s="17"/>
    </row>
    <row r="8" spans="1:14" ht="15" customHeight="1" x14ac:dyDescent="0.25">
      <c r="A8" s="457" t="s">
        <v>116</v>
      </c>
      <c r="B8" s="457"/>
      <c r="C8" s="457"/>
      <c r="D8" s="457"/>
      <c r="E8" s="457"/>
      <c r="F8" s="457"/>
      <c r="G8" s="457"/>
      <c r="H8" s="457"/>
      <c r="I8" s="457"/>
      <c r="J8" s="457"/>
      <c r="K8" s="457"/>
      <c r="L8" s="457"/>
      <c r="M8" s="457"/>
      <c r="N8" s="457"/>
    </row>
    <row r="9" spans="1:14" ht="15" customHeight="1" x14ac:dyDescent="0.25">
      <c r="K9" s="17"/>
      <c r="L9" s="17"/>
      <c r="M9" s="17"/>
      <c r="N9" s="17"/>
    </row>
    <row r="10" spans="1:14" ht="15" customHeight="1" x14ac:dyDescent="0.25"/>
    <row r="11" spans="1:14" ht="15" customHeight="1" x14ac:dyDescent="0.25">
      <c r="A11" s="457" t="s">
        <v>14</v>
      </c>
      <c r="B11" s="457"/>
      <c r="C11" s="500">
        <f>'1 ESTADÍSTICA MENSUAL'!C11</f>
        <v>0</v>
      </c>
      <c r="D11" s="500"/>
      <c r="E11" s="500"/>
      <c r="F11" s="500"/>
      <c r="G11" s="500"/>
      <c r="H11" s="19"/>
      <c r="I11" s="19"/>
      <c r="J11" s="19"/>
      <c r="K11" s="449" t="s">
        <v>39</v>
      </c>
      <c r="L11" s="449"/>
      <c r="M11" s="499">
        <f>'1 ESTADÍSTICA MENSUAL'!M11</f>
        <v>0</v>
      </c>
      <c r="N11" s="499"/>
    </row>
    <row r="12" spans="1:14" ht="15" customHeight="1" x14ac:dyDescent="0.25">
      <c r="A12" s="457" t="s">
        <v>15</v>
      </c>
      <c r="B12" s="457"/>
      <c r="C12" s="501">
        <f>'1 ESTADÍSTICA MENSUAL'!C12</f>
        <v>0</v>
      </c>
      <c r="D12" s="501"/>
      <c r="E12" s="423" t="s">
        <v>0</v>
      </c>
      <c r="F12" s="502">
        <f>'1 ESTADÍSTICA MENSUAL'!F12</f>
        <v>0</v>
      </c>
      <c r="G12" s="502"/>
      <c r="K12" s="448" t="s">
        <v>16</v>
      </c>
      <c r="L12" s="448"/>
      <c r="M12" s="499">
        <f>'1 ESTADÍSTICA MENSUAL'!M12</f>
        <v>0</v>
      </c>
      <c r="N12" s="499"/>
    </row>
    <row r="13" spans="1:14" ht="15" customHeight="1" x14ac:dyDescent="0.25">
      <c r="A13" s="21"/>
      <c r="B13" s="22"/>
      <c r="C13" s="22"/>
      <c r="K13" s="449" t="s">
        <v>40</v>
      </c>
      <c r="L13" s="449"/>
      <c r="M13" s="499">
        <f>'1 ESTADÍSTICA MENSUAL'!M13</f>
        <v>0</v>
      </c>
      <c r="N13" s="499"/>
    </row>
    <row r="14" spans="1:14" ht="15" customHeight="1" x14ac:dyDescent="0.25">
      <c r="A14" s="22"/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</row>
    <row r="15" spans="1:14" s="62" customFormat="1" ht="15" customHeight="1" x14ac:dyDescent="0.25">
      <c r="A15" s="489" t="s">
        <v>30</v>
      </c>
      <c r="B15" s="489"/>
      <c r="C15" s="489"/>
      <c r="D15" s="489"/>
      <c r="E15" s="489"/>
      <c r="F15" s="61"/>
      <c r="G15" s="61"/>
      <c r="H15" s="61"/>
      <c r="I15" s="61"/>
      <c r="J15" s="61"/>
      <c r="K15" s="61"/>
      <c r="L15" s="61"/>
      <c r="M15" s="61"/>
      <c r="N15" s="61"/>
    </row>
    <row r="16" spans="1:14" s="62" customFormat="1" ht="15" customHeight="1" thickBot="1" x14ac:dyDescent="0.3">
      <c r="A16" s="63"/>
      <c r="B16" s="63"/>
      <c r="C16" s="61"/>
      <c r="D16" s="61"/>
      <c r="E16" s="61"/>
      <c r="F16" s="61"/>
      <c r="G16" s="61"/>
      <c r="H16" s="61"/>
      <c r="I16" s="61"/>
      <c r="J16" s="61"/>
      <c r="K16" s="61"/>
      <c r="L16" s="61"/>
      <c r="M16" s="61"/>
      <c r="N16" s="61"/>
    </row>
    <row r="17" spans="1:14" ht="31.5" customHeight="1" thickBot="1" x14ac:dyDescent="0.3">
      <c r="A17" s="204"/>
      <c r="B17" s="205" t="s">
        <v>7</v>
      </c>
      <c r="C17" s="490" t="s">
        <v>8</v>
      </c>
      <c r="D17" s="491"/>
      <c r="E17" s="490" t="s">
        <v>9</v>
      </c>
      <c r="F17" s="491"/>
      <c r="G17" s="205" t="s">
        <v>31</v>
      </c>
      <c r="H17" s="205" t="s">
        <v>10</v>
      </c>
      <c r="I17" s="205" t="s">
        <v>11</v>
      </c>
      <c r="J17" s="205" t="s">
        <v>181</v>
      </c>
      <c r="K17" s="490" t="s">
        <v>12</v>
      </c>
      <c r="L17" s="494"/>
      <c r="M17" s="491"/>
      <c r="N17" s="206" t="s">
        <v>156</v>
      </c>
    </row>
    <row r="18" spans="1:14" ht="31.5" customHeight="1" x14ac:dyDescent="0.25">
      <c r="A18" s="198">
        <v>1</v>
      </c>
      <c r="B18" s="199"/>
      <c r="C18" s="482"/>
      <c r="D18" s="484"/>
      <c r="E18" s="487"/>
      <c r="F18" s="488"/>
      <c r="G18" s="200"/>
      <c r="H18" s="307"/>
      <c r="I18" s="201"/>
      <c r="J18" s="202"/>
      <c r="K18" s="498"/>
      <c r="L18" s="483"/>
      <c r="M18" s="484"/>
      <c r="N18" s="203"/>
    </row>
    <row r="19" spans="1:14" ht="31.5" customHeight="1" x14ac:dyDescent="0.25">
      <c r="A19" s="64">
        <v>2</v>
      </c>
      <c r="B19" s="156"/>
      <c r="C19" s="476"/>
      <c r="D19" s="477"/>
      <c r="E19" s="476"/>
      <c r="F19" s="477"/>
      <c r="G19" s="66"/>
      <c r="H19" s="65"/>
      <c r="I19" s="65"/>
      <c r="J19" s="202"/>
      <c r="K19" s="482"/>
      <c r="L19" s="483"/>
      <c r="M19" s="484"/>
      <c r="N19" s="67"/>
    </row>
    <row r="20" spans="1:14" ht="31.5" customHeight="1" x14ac:dyDescent="0.25">
      <c r="A20" s="64">
        <v>3</v>
      </c>
      <c r="B20" s="156"/>
      <c r="C20" s="482"/>
      <c r="D20" s="484"/>
      <c r="E20" s="476"/>
      <c r="F20" s="477"/>
      <c r="G20" s="68"/>
      <c r="H20" s="65"/>
      <c r="I20" s="65"/>
      <c r="J20" s="202"/>
      <c r="K20" s="482"/>
      <c r="L20" s="483"/>
      <c r="M20" s="484"/>
      <c r="N20" s="69"/>
    </row>
    <row r="21" spans="1:14" ht="31.5" customHeight="1" x14ac:dyDescent="0.25">
      <c r="A21" s="64">
        <v>4</v>
      </c>
      <c r="B21" s="156"/>
      <c r="C21" s="482"/>
      <c r="D21" s="484"/>
      <c r="E21" s="476"/>
      <c r="F21" s="477"/>
      <c r="G21" s="68"/>
      <c r="H21" s="65"/>
      <c r="I21" s="65"/>
      <c r="J21" s="202"/>
      <c r="K21" s="482"/>
      <c r="L21" s="483"/>
      <c r="M21" s="484"/>
      <c r="N21" s="69"/>
    </row>
    <row r="22" spans="1:14" ht="31.5" customHeight="1" thickBot="1" x14ac:dyDescent="0.3">
      <c r="A22" s="64">
        <v>5</v>
      </c>
      <c r="B22" s="156"/>
      <c r="C22" s="482"/>
      <c r="D22" s="484"/>
      <c r="E22" s="476"/>
      <c r="F22" s="477"/>
      <c r="G22" s="68"/>
      <c r="H22" s="65"/>
      <c r="I22" s="65"/>
      <c r="J22" s="65"/>
      <c r="K22" s="482"/>
      <c r="L22" s="483"/>
      <c r="M22" s="484"/>
      <c r="N22" s="69"/>
    </row>
    <row r="23" spans="1:14" ht="31.5" customHeight="1" x14ac:dyDescent="0.25">
      <c r="A23" s="64">
        <v>6</v>
      </c>
      <c r="B23" s="199"/>
      <c r="C23" s="482"/>
      <c r="D23" s="484"/>
      <c r="E23" s="487"/>
      <c r="F23" s="488"/>
      <c r="G23" s="200"/>
      <c r="H23" s="307"/>
      <c r="I23" s="201"/>
      <c r="J23" s="202"/>
      <c r="K23" s="482"/>
      <c r="L23" s="483"/>
      <c r="M23" s="484"/>
      <c r="N23" s="203"/>
    </row>
    <row r="24" spans="1:14" ht="31.5" customHeight="1" x14ac:dyDescent="0.25">
      <c r="A24" s="64">
        <v>7</v>
      </c>
      <c r="B24" s="156"/>
      <c r="C24" s="476"/>
      <c r="D24" s="477"/>
      <c r="E24" s="476"/>
      <c r="F24" s="477"/>
      <c r="G24" s="66"/>
      <c r="H24" s="65"/>
      <c r="I24" s="65"/>
      <c r="J24" s="202"/>
      <c r="K24" s="482"/>
      <c r="L24" s="483"/>
      <c r="M24" s="484"/>
      <c r="N24" s="67"/>
    </row>
    <row r="25" spans="1:14" ht="31.5" customHeight="1" x14ac:dyDescent="0.25">
      <c r="A25" s="64">
        <v>8</v>
      </c>
      <c r="B25" s="156"/>
      <c r="C25" s="482"/>
      <c r="D25" s="484"/>
      <c r="E25" s="476"/>
      <c r="F25" s="477"/>
      <c r="G25" s="68"/>
      <c r="H25" s="65"/>
      <c r="I25" s="65"/>
      <c r="J25" s="202"/>
      <c r="K25" s="482"/>
      <c r="L25" s="483"/>
      <c r="M25" s="484"/>
      <c r="N25" s="69"/>
    </row>
    <row r="26" spans="1:14" ht="31.5" customHeight="1" x14ac:dyDescent="0.25">
      <c r="A26" s="64">
        <v>9</v>
      </c>
      <c r="B26" s="156"/>
      <c r="C26" s="482"/>
      <c r="D26" s="484"/>
      <c r="E26" s="476"/>
      <c r="F26" s="477"/>
      <c r="G26" s="68"/>
      <c r="H26" s="65"/>
      <c r="I26" s="65"/>
      <c r="J26" s="202"/>
      <c r="K26" s="482"/>
      <c r="L26" s="483"/>
      <c r="M26" s="484"/>
      <c r="N26" s="69"/>
    </row>
    <row r="27" spans="1:14" ht="31.5" customHeight="1" thickBot="1" x14ac:dyDescent="0.3">
      <c r="A27" s="72">
        <v>10</v>
      </c>
      <c r="B27" s="157"/>
      <c r="C27" s="495"/>
      <c r="D27" s="496"/>
      <c r="E27" s="485"/>
      <c r="F27" s="477"/>
      <c r="G27" s="73"/>
      <c r="H27" s="74"/>
      <c r="I27" s="74"/>
      <c r="J27" s="127"/>
      <c r="K27" s="478"/>
      <c r="L27" s="497"/>
      <c r="M27" s="479"/>
      <c r="N27" s="75"/>
    </row>
    <row r="28" spans="1:14" ht="15" customHeight="1" x14ac:dyDescent="0.25">
      <c r="A28" s="76"/>
      <c r="B28" s="77"/>
      <c r="C28" s="77"/>
      <c r="D28" s="77"/>
      <c r="E28" s="77"/>
      <c r="F28" s="77"/>
      <c r="G28" s="78"/>
      <c r="H28" s="76"/>
      <c r="I28" s="76"/>
      <c r="J28" s="76"/>
      <c r="K28" s="78"/>
      <c r="L28" s="79"/>
      <c r="M28" s="79"/>
      <c r="N28" s="79"/>
    </row>
    <row r="29" spans="1:14" ht="15" customHeight="1" x14ac:dyDescent="0.25">
      <c r="A29" s="489" t="s">
        <v>32</v>
      </c>
      <c r="B29" s="489"/>
      <c r="C29" s="489"/>
      <c r="D29" s="489"/>
      <c r="E29" s="489"/>
      <c r="F29" s="61"/>
      <c r="G29" s="61"/>
      <c r="H29" s="61"/>
      <c r="I29" s="61"/>
      <c r="J29" s="61"/>
      <c r="K29" s="61"/>
      <c r="L29" s="61"/>
      <c r="M29" s="80"/>
      <c r="N29" s="80"/>
    </row>
    <row r="30" spans="1:14" ht="15" customHeight="1" thickBot="1" x14ac:dyDescent="0.3">
      <c r="A30" s="48"/>
      <c r="B30" s="424"/>
      <c r="C30" s="424"/>
      <c r="D30" s="424"/>
      <c r="E30" s="424"/>
      <c r="F30" s="61"/>
      <c r="G30" s="61"/>
      <c r="H30" s="61"/>
      <c r="I30" s="61"/>
      <c r="J30" s="61"/>
      <c r="K30" s="61"/>
      <c r="L30" s="61"/>
      <c r="M30" s="80"/>
      <c r="N30" s="80"/>
    </row>
    <row r="31" spans="1:14" ht="31.5" customHeight="1" thickBot="1" x14ac:dyDescent="0.3">
      <c r="A31" s="129"/>
      <c r="B31" s="205" t="s">
        <v>7</v>
      </c>
      <c r="C31" s="490" t="s">
        <v>8</v>
      </c>
      <c r="D31" s="491"/>
      <c r="E31" s="492" t="s">
        <v>9</v>
      </c>
      <c r="F31" s="493"/>
      <c r="G31" s="130" t="s">
        <v>31</v>
      </c>
      <c r="H31" s="205" t="s">
        <v>10</v>
      </c>
      <c r="I31" s="205" t="s">
        <v>11</v>
      </c>
      <c r="J31" s="205" t="s">
        <v>181</v>
      </c>
      <c r="K31" s="490" t="s">
        <v>12</v>
      </c>
      <c r="L31" s="494"/>
      <c r="M31" s="491"/>
      <c r="N31" s="206" t="s">
        <v>157</v>
      </c>
    </row>
    <row r="32" spans="1:14" ht="33" customHeight="1" thickBot="1" x14ac:dyDescent="0.3">
      <c r="A32" s="131">
        <v>1</v>
      </c>
      <c r="B32" s="156"/>
      <c r="C32" s="476"/>
      <c r="D32" s="477"/>
      <c r="E32" s="487"/>
      <c r="F32" s="488"/>
      <c r="G32" s="66"/>
      <c r="H32" s="65"/>
      <c r="I32" s="65"/>
      <c r="J32" s="202"/>
      <c r="K32" s="476"/>
      <c r="L32" s="480"/>
      <c r="M32" s="477"/>
      <c r="N32" s="81"/>
    </row>
    <row r="33" spans="1:14" ht="33" customHeight="1" x14ac:dyDescent="0.25">
      <c r="A33" s="64">
        <v>2</v>
      </c>
      <c r="B33" s="199"/>
      <c r="C33" s="482"/>
      <c r="D33" s="484"/>
      <c r="E33" s="487"/>
      <c r="F33" s="488"/>
      <c r="G33" s="391"/>
      <c r="H33" s="307"/>
      <c r="I33" s="201"/>
      <c r="J33" s="202"/>
      <c r="K33" s="482"/>
      <c r="L33" s="483"/>
      <c r="M33" s="484"/>
      <c r="N33" s="207"/>
    </row>
    <row r="34" spans="1:14" ht="33" customHeight="1" x14ac:dyDescent="0.25">
      <c r="A34" s="64">
        <v>3</v>
      </c>
      <c r="B34" s="156"/>
      <c r="C34" s="476"/>
      <c r="D34" s="477"/>
      <c r="E34" s="476"/>
      <c r="F34" s="477"/>
      <c r="G34" s="66"/>
      <c r="H34" s="65"/>
      <c r="I34" s="65"/>
      <c r="J34" s="202"/>
      <c r="K34" s="482"/>
      <c r="L34" s="483"/>
      <c r="M34" s="484"/>
      <c r="N34" s="81"/>
    </row>
    <row r="35" spans="1:14" ht="33" customHeight="1" x14ac:dyDescent="0.25">
      <c r="A35" s="64">
        <v>4</v>
      </c>
      <c r="B35" s="156"/>
      <c r="C35" s="476"/>
      <c r="D35" s="477"/>
      <c r="E35" s="476"/>
      <c r="F35" s="477"/>
      <c r="G35" s="66"/>
      <c r="H35" s="65"/>
      <c r="I35" s="65"/>
      <c r="J35" s="202"/>
      <c r="K35" s="476"/>
      <c r="L35" s="480"/>
      <c r="M35" s="477"/>
      <c r="N35" s="81"/>
    </row>
    <row r="36" spans="1:14" ht="33" customHeight="1" x14ac:dyDescent="0.25">
      <c r="A36" s="64">
        <v>5</v>
      </c>
      <c r="B36" s="156"/>
      <c r="C36" s="476"/>
      <c r="D36" s="477"/>
      <c r="E36" s="485"/>
      <c r="F36" s="486"/>
      <c r="G36" s="70"/>
      <c r="H36" s="65"/>
      <c r="I36" s="65"/>
      <c r="J36" s="202"/>
      <c r="K36" s="476"/>
      <c r="L36" s="480"/>
      <c r="M36" s="486"/>
      <c r="N36" s="71"/>
    </row>
    <row r="37" spans="1:14" ht="33" customHeight="1" x14ac:dyDescent="0.25">
      <c r="A37" s="64">
        <v>6</v>
      </c>
      <c r="B37" s="156"/>
      <c r="C37" s="482"/>
      <c r="D37" s="484"/>
      <c r="E37" s="476"/>
      <c r="F37" s="477"/>
      <c r="G37" s="66"/>
      <c r="H37" s="65"/>
      <c r="I37" s="65"/>
      <c r="J37" s="202"/>
      <c r="K37" s="482"/>
      <c r="L37" s="483"/>
      <c r="M37" s="484"/>
      <c r="N37" s="392"/>
    </row>
    <row r="38" spans="1:14" ht="33" customHeight="1" thickBot="1" x14ac:dyDescent="0.3">
      <c r="A38" s="64">
        <v>7</v>
      </c>
      <c r="B38" s="156"/>
      <c r="C38" s="482"/>
      <c r="D38" s="484"/>
      <c r="E38" s="478"/>
      <c r="F38" s="479"/>
      <c r="G38" s="82"/>
      <c r="H38" s="65"/>
      <c r="I38" s="65"/>
      <c r="J38" s="202"/>
      <c r="K38" s="482"/>
      <c r="L38" s="483"/>
      <c r="M38" s="484"/>
      <c r="N38" s="83"/>
    </row>
    <row r="39" spans="1:14" ht="33" customHeight="1" x14ac:dyDescent="0.25">
      <c r="A39" s="64">
        <v>8</v>
      </c>
      <c r="B39" s="156"/>
      <c r="C39" s="476"/>
      <c r="D39" s="477"/>
      <c r="E39" s="476"/>
      <c r="F39" s="477"/>
      <c r="G39" s="82"/>
      <c r="H39" s="65"/>
      <c r="I39" s="65"/>
      <c r="J39" s="202"/>
      <c r="K39" s="482"/>
      <c r="L39" s="483"/>
      <c r="M39" s="484"/>
      <c r="N39" s="83"/>
    </row>
    <row r="40" spans="1:14" ht="33" customHeight="1" thickBot="1" x14ac:dyDescent="0.3">
      <c r="A40" s="64">
        <v>9</v>
      </c>
      <c r="B40" s="156"/>
      <c r="C40" s="476"/>
      <c r="D40" s="477"/>
      <c r="E40" s="476"/>
      <c r="F40" s="477"/>
      <c r="G40" s="82"/>
      <c r="H40" s="74"/>
      <c r="I40" s="74"/>
      <c r="J40" s="127"/>
      <c r="K40" s="476"/>
      <c r="L40" s="480"/>
      <c r="M40" s="477"/>
      <c r="N40" s="83"/>
    </row>
    <row r="41" spans="1:14" ht="33" customHeight="1" thickBot="1" x14ac:dyDescent="0.3">
      <c r="A41" s="72">
        <v>10</v>
      </c>
      <c r="B41" s="156"/>
      <c r="C41" s="476"/>
      <c r="D41" s="477"/>
      <c r="E41" s="478"/>
      <c r="F41" s="479"/>
      <c r="G41" s="82"/>
      <c r="H41" s="74"/>
      <c r="I41" s="73"/>
      <c r="J41" s="127"/>
      <c r="K41" s="476"/>
      <c r="L41" s="480"/>
      <c r="M41" s="477"/>
      <c r="N41" s="83"/>
    </row>
    <row r="42" spans="1:14" s="62" customFormat="1" ht="19.95" customHeight="1" x14ac:dyDescent="0.25">
      <c r="A42" s="132"/>
      <c r="B42" s="297"/>
      <c r="C42" s="79"/>
      <c r="D42" s="79"/>
      <c r="E42" s="76"/>
      <c r="F42" s="76"/>
      <c r="G42" s="78"/>
      <c r="H42" s="76"/>
      <c r="I42" s="76"/>
      <c r="J42" s="76"/>
      <c r="K42" s="79"/>
      <c r="L42" s="79"/>
      <c r="M42" s="79"/>
      <c r="N42" s="78"/>
    </row>
    <row r="43" spans="1:14" s="62" customFormat="1" ht="19.95" customHeight="1" x14ac:dyDescent="0.25">
      <c r="A43" s="132"/>
      <c r="B43" s="297"/>
      <c r="C43" s="79"/>
      <c r="D43" s="79"/>
      <c r="E43" s="76"/>
      <c r="F43" s="76"/>
      <c r="G43" s="78"/>
      <c r="H43" s="76"/>
      <c r="I43" s="76"/>
      <c r="J43" s="76"/>
      <c r="K43" s="79"/>
      <c r="L43" s="79"/>
      <c r="M43" s="79"/>
      <c r="N43" s="78"/>
    </row>
    <row r="44" spans="1:14" ht="19.95" customHeight="1" x14ac:dyDescent="0.25">
      <c r="B44" s="133"/>
    </row>
    <row r="45" spans="1:14" ht="19.95" customHeight="1" x14ac:dyDescent="0.25">
      <c r="A45" s="17"/>
      <c r="K45" s="17"/>
      <c r="L45" s="17"/>
      <c r="M45" s="17"/>
      <c r="N45" s="17"/>
    </row>
    <row r="46" spans="1:14" ht="19.95" customHeight="1" x14ac:dyDescent="0.25">
      <c r="A46" s="443" t="str">
        <f>'1 ESTADÍSTICA MENSUAL'!A59:C59</f>
        <v>Nombre Director(a):</v>
      </c>
      <c r="B46" s="443"/>
      <c r="C46" s="443"/>
      <c r="D46" s="481">
        <f>'1 ESTADÍSTICA MENSUAL'!D59</f>
        <v>0</v>
      </c>
      <c r="E46" s="481"/>
      <c r="F46" s="481"/>
      <c r="G46" s="80"/>
      <c r="H46" s="134"/>
      <c r="I46" s="134"/>
      <c r="J46" s="475" t="str">
        <f>'1 ESTADÍSTICA MENSUAL'!J59:K59</f>
        <v>CARRIZAL,</v>
      </c>
      <c r="K46" s="475"/>
      <c r="L46" s="436">
        <f>'1 ESTADÍSTICA MENSUAL'!L59</f>
        <v>0</v>
      </c>
      <c r="M46" s="436"/>
      <c r="N46" s="436"/>
    </row>
    <row r="47" spans="1:14" ht="19.95" customHeight="1" x14ac:dyDescent="0.25">
      <c r="A47" s="443" t="str">
        <f>'1 ESTADÍSTICA MENSUAL'!A60:C60</f>
        <v>Cédula de Identidad Nº:</v>
      </c>
      <c r="B47" s="443"/>
      <c r="C47" s="443"/>
      <c r="D47" s="474">
        <f>'1 ESTADÍSTICA MENSUAL'!D60</f>
        <v>0</v>
      </c>
      <c r="E47" s="474"/>
      <c r="F47" s="474"/>
      <c r="G47" s="80"/>
      <c r="H47" s="134"/>
      <c r="I47" s="134"/>
      <c r="J47" s="475" t="str">
        <f>'1 ESTADÍSTICA MENSUAL'!J60:K60</f>
        <v>GUAICAIPURO,</v>
      </c>
      <c r="K47" s="475"/>
      <c r="L47" s="436">
        <f>'1 ESTADÍSTICA MENSUAL'!L60</f>
        <v>0</v>
      </c>
      <c r="M47" s="436"/>
      <c r="N47" s="436"/>
    </row>
    <row r="48" spans="1:14" ht="19.95" customHeight="1" x14ac:dyDescent="0.25">
      <c r="A48" s="443" t="str">
        <f>'1 ESTADÍSTICA MENSUAL'!A61:C61</f>
        <v>Teléfono(s):</v>
      </c>
      <c r="B48" s="443"/>
      <c r="C48" s="443"/>
      <c r="D48" s="474">
        <f>'1 ESTADÍSTICA MENSUAL'!D61</f>
        <v>0</v>
      </c>
      <c r="E48" s="474"/>
      <c r="F48" s="474"/>
      <c r="G48" s="80"/>
      <c r="H48" s="134"/>
      <c r="I48" s="134"/>
      <c r="J48" s="475" t="str">
        <f>'1 ESTADÍSTICA MENSUAL'!J61:K61</f>
        <v>LOS SALIAS,</v>
      </c>
      <c r="K48" s="475"/>
      <c r="L48" s="436">
        <f>'1 ESTADÍSTICA MENSUAL'!L61</f>
        <v>0</v>
      </c>
      <c r="M48" s="436"/>
      <c r="N48" s="436"/>
    </row>
    <row r="49" spans="1:14" ht="19.95" customHeight="1" x14ac:dyDescent="0.25">
      <c r="A49" s="443" t="str">
        <f>'1 ESTADÍSTICA MENSUAL'!A62:C62</f>
        <v>Correo Electrónico:</v>
      </c>
      <c r="B49" s="443"/>
      <c r="C49" s="443"/>
      <c r="D49" s="473">
        <f>'1 ESTADÍSTICA MENSUAL'!D62</f>
        <v>0</v>
      </c>
      <c r="E49" s="473"/>
      <c r="F49" s="473"/>
      <c r="G49" s="135"/>
      <c r="H49" s="134"/>
      <c r="I49" s="134"/>
      <c r="J49" s="134"/>
      <c r="L49" s="80"/>
      <c r="M49" s="80"/>
      <c r="N49" s="80"/>
    </row>
    <row r="50" spans="1:14" ht="20.100000000000001" customHeight="1" x14ac:dyDescent="0.25"/>
    <row r="51" spans="1:14" ht="20.100000000000001" customHeight="1" x14ac:dyDescent="0.25"/>
    <row r="52" spans="1:14" ht="20.100000000000001" customHeight="1" x14ac:dyDescent="0.25"/>
    <row r="53" spans="1:14" ht="20.100000000000001" customHeight="1" x14ac:dyDescent="0.25"/>
    <row r="54" spans="1:14" ht="20.100000000000001" customHeight="1" x14ac:dyDescent="0.25"/>
    <row r="55" spans="1:14" ht="20.100000000000001" customHeight="1" x14ac:dyDescent="0.25"/>
    <row r="56" spans="1:14" ht="20.100000000000001" customHeight="1" x14ac:dyDescent="0.25"/>
    <row r="57" spans="1:14" ht="20.100000000000001" customHeight="1" x14ac:dyDescent="0.25"/>
    <row r="58" spans="1:14" ht="20.100000000000001" customHeight="1" x14ac:dyDescent="0.25"/>
    <row r="59" spans="1:14" ht="20.100000000000001" customHeight="1" x14ac:dyDescent="0.25"/>
    <row r="60" spans="1:14" ht="20.100000000000001" customHeight="1" x14ac:dyDescent="0.25"/>
    <row r="61" spans="1:14" ht="20.100000000000001" customHeight="1" x14ac:dyDescent="0.25"/>
  </sheetData>
  <sheetProtection algorithmName="SHA-512" hashValue="XzseW0X93sr5Q9LlLGn65xVTkl4I4oZdK1ht0A5QV7qoO4+5Bdlt5gPygU+5q4TycxtzEVmbUKF5KsKnbumZAA==" saltValue="MmlhJ49SEcp0ywsC4X00bg==" spinCount="100000" sheet="1" formatCells="0" formatColumns="0" formatRows="0"/>
  <dataConsolidate/>
  <mergeCells count="99">
    <mergeCell ref="A8:N8"/>
    <mergeCell ref="A1:N1"/>
    <mergeCell ref="A2:N2"/>
    <mergeCell ref="A3:N3"/>
    <mergeCell ref="A4:N4"/>
    <mergeCell ref="A5:N5"/>
    <mergeCell ref="A11:B11"/>
    <mergeCell ref="C11:G11"/>
    <mergeCell ref="K11:L11"/>
    <mergeCell ref="M11:N11"/>
    <mergeCell ref="A12:B12"/>
    <mergeCell ref="C12:D12"/>
    <mergeCell ref="F12:G12"/>
    <mergeCell ref="K12:L12"/>
    <mergeCell ref="M12:N12"/>
    <mergeCell ref="K13:L13"/>
    <mergeCell ref="M13:N13"/>
    <mergeCell ref="A15:E15"/>
    <mergeCell ref="C17:D17"/>
    <mergeCell ref="E17:F17"/>
    <mergeCell ref="K17:M17"/>
    <mergeCell ref="C18:D18"/>
    <mergeCell ref="E18:F18"/>
    <mergeCell ref="K18:M18"/>
    <mergeCell ref="C19:D19"/>
    <mergeCell ref="E19:F19"/>
    <mergeCell ref="K19:M19"/>
    <mergeCell ref="C20:D20"/>
    <mergeCell ref="E20:F20"/>
    <mergeCell ref="K20:M20"/>
    <mergeCell ref="C21:D21"/>
    <mergeCell ref="E21:F21"/>
    <mergeCell ref="K21:M21"/>
    <mergeCell ref="C22:D22"/>
    <mergeCell ref="E22:F22"/>
    <mergeCell ref="K22:M22"/>
    <mergeCell ref="C23:D23"/>
    <mergeCell ref="E23:F23"/>
    <mergeCell ref="K23:M23"/>
    <mergeCell ref="C24:D24"/>
    <mergeCell ref="E24:F24"/>
    <mergeCell ref="K24:M24"/>
    <mergeCell ref="C25:D25"/>
    <mergeCell ref="E25:F25"/>
    <mergeCell ref="K25:M25"/>
    <mergeCell ref="C26:D26"/>
    <mergeCell ref="E26:F26"/>
    <mergeCell ref="K26:M26"/>
    <mergeCell ref="C27:D27"/>
    <mergeCell ref="E27:F27"/>
    <mergeCell ref="K27:M27"/>
    <mergeCell ref="A29:E29"/>
    <mergeCell ref="C31:D31"/>
    <mergeCell ref="E31:F31"/>
    <mergeCell ref="K31:M31"/>
    <mergeCell ref="C32:D32"/>
    <mergeCell ref="E32:F32"/>
    <mergeCell ref="K32:M32"/>
    <mergeCell ref="C33:D33"/>
    <mergeCell ref="E33:F33"/>
    <mergeCell ref="K33:M33"/>
    <mergeCell ref="C34:D34"/>
    <mergeCell ref="E34:F34"/>
    <mergeCell ref="K34:M34"/>
    <mergeCell ref="C35:D35"/>
    <mergeCell ref="E35:F35"/>
    <mergeCell ref="K35:M35"/>
    <mergeCell ref="C36:D36"/>
    <mergeCell ref="E36:F36"/>
    <mergeCell ref="K36:M36"/>
    <mergeCell ref="C37:D37"/>
    <mergeCell ref="E37:F37"/>
    <mergeCell ref="K37:M37"/>
    <mergeCell ref="C38:D38"/>
    <mergeCell ref="E38:F38"/>
    <mergeCell ref="K38:M38"/>
    <mergeCell ref="C39:D39"/>
    <mergeCell ref="E39:F39"/>
    <mergeCell ref="K39:M39"/>
    <mergeCell ref="C40:D40"/>
    <mergeCell ref="E40:F40"/>
    <mergeCell ref="K40:M40"/>
    <mergeCell ref="C41:D41"/>
    <mergeCell ref="E41:F41"/>
    <mergeCell ref="K41:M41"/>
    <mergeCell ref="A46:C46"/>
    <mergeCell ref="D46:F46"/>
    <mergeCell ref="J46:K46"/>
    <mergeCell ref="L46:N46"/>
    <mergeCell ref="L47:N47"/>
    <mergeCell ref="A48:C48"/>
    <mergeCell ref="D48:F48"/>
    <mergeCell ref="J48:K48"/>
    <mergeCell ref="L48:N48"/>
    <mergeCell ref="A49:C49"/>
    <mergeCell ref="D49:F49"/>
    <mergeCell ref="A47:C47"/>
    <mergeCell ref="D47:F47"/>
    <mergeCell ref="J47:K47"/>
  </mergeCells>
  <pageMargins left="0.59055118110236227" right="0.19685039370078741" top="0.39370078740157483" bottom="0.39370078740157483" header="0.31496062992125984" footer="0.51181102362204722"/>
  <pageSetup scale="50" firstPageNumber="0" orientation="portrait" horizontalDpi="300" verticalDpi="300" r:id="rId1"/>
  <headerFooter alignWithMargins="0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0000"/>
  </sheetPr>
  <dimension ref="A1:T63"/>
  <sheetViews>
    <sheetView showGridLines="0" view="pageBreakPreview" topLeftCell="A18" zoomScale="70" zoomScaleNormal="80" zoomScaleSheetLayoutView="70" workbookViewId="0">
      <selection activeCell="T17" sqref="T17"/>
    </sheetView>
  </sheetViews>
  <sheetFormatPr baseColWidth="10" defaultColWidth="11.44140625" defaultRowHeight="13.2" x14ac:dyDescent="0.3"/>
  <cols>
    <col min="1" max="1" width="6.88671875" style="49" customWidth="1"/>
    <col min="2" max="4" width="15.6640625" style="215" customWidth="1"/>
    <col min="5" max="8" width="15.6640625" style="50" customWidth="1"/>
    <col min="9" max="9" width="13.6640625" style="50" customWidth="1"/>
    <col min="10" max="20" width="13.6640625" style="49" customWidth="1"/>
    <col min="21" max="16384" width="11.44140625" style="49"/>
  </cols>
  <sheetData>
    <row r="1" spans="1:20" x14ac:dyDescent="0.3">
      <c r="A1" s="503" t="s">
        <v>111</v>
      </c>
      <c r="B1" s="444"/>
      <c r="C1" s="444"/>
      <c r="D1" s="444"/>
      <c r="E1" s="444"/>
      <c r="F1" s="444"/>
      <c r="G1" s="444"/>
      <c r="H1" s="444"/>
      <c r="I1" s="444"/>
      <c r="J1" s="444"/>
      <c r="K1" s="444"/>
      <c r="L1" s="444"/>
      <c r="M1" s="444"/>
      <c r="N1" s="444"/>
      <c r="O1" s="444"/>
      <c r="P1" s="444"/>
      <c r="Q1" s="444"/>
      <c r="R1" s="444"/>
      <c r="S1" s="444"/>
      <c r="T1" s="444"/>
    </row>
    <row r="2" spans="1:20" x14ac:dyDescent="0.3">
      <c r="A2" s="444" t="s">
        <v>112</v>
      </c>
      <c r="B2" s="444"/>
      <c r="C2" s="444"/>
      <c r="D2" s="444"/>
      <c r="E2" s="444"/>
      <c r="F2" s="444"/>
      <c r="G2" s="444"/>
      <c r="H2" s="444"/>
      <c r="I2" s="444"/>
      <c r="J2" s="444"/>
      <c r="K2" s="444"/>
      <c r="L2" s="444"/>
      <c r="M2" s="444"/>
      <c r="N2" s="444"/>
      <c r="O2" s="444"/>
      <c r="P2" s="444"/>
      <c r="Q2" s="444"/>
      <c r="R2" s="444"/>
      <c r="S2" s="444"/>
      <c r="T2" s="444"/>
    </row>
    <row r="3" spans="1:20" x14ac:dyDescent="0.3">
      <c r="A3" s="444" t="s">
        <v>113</v>
      </c>
      <c r="B3" s="444"/>
      <c r="C3" s="444"/>
      <c r="D3" s="444"/>
      <c r="E3" s="444"/>
      <c r="F3" s="444"/>
      <c r="G3" s="444"/>
      <c r="H3" s="444"/>
      <c r="I3" s="444"/>
      <c r="J3" s="444"/>
      <c r="K3" s="444"/>
      <c r="L3" s="444"/>
      <c r="M3" s="444"/>
      <c r="N3" s="444"/>
      <c r="O3" s="444"/>
      <c r="P3" s="444"/>
      <c r="Q3" s="444"/>
      <c r="R3" s="444"/>
      <c r="S3" s="444"/>
      <c r="T3" s="444"/>
    </row>
    <row r="4" spans="1:20" x14ac:dyDescent="0.3">
      <c r="A4" s="444" t="s">
        <v>114</v>
      </c>
      <c r="B4" s="444"/>
      <c r="C4" s="444"/>
      <c r="D4" s="444"/>
      <c r="E4" s="444"/>
      <c r="F4" s="444"/>
      <c r="G4" s="444"/>
      <c r="H4" s="444"/>
      <c r="I4" s="444"/>
      <c r="J4" s="444"/>
      <c r="K4" s="444"/>
      <c r="L4" s="444"/>
      <c r="M4" s="444"/>
      <c r="N4" s="444"/>
      <c r="O4" s="444"/>
      <c r="P4" s="444"/>
      <c r="Q4" s="444"/>
      <c r="R4" s="444"/>
      <c r="S4" s="444"/>
      <c r="T4" s="444"/>
    </row>
    <row r="5" spans="1:20" x14ac:dyDescent="0.3">
      <c r="A5" s="444" t="s">
        <v>115</v>
      </c>
      <c r="B5" s="444"/>
      <c r="C5" s="444"/>
      <c r="D5" s="444"/>
      <c r="E5" s="444"/>
      <c r="F5" s="444"/>
      <c r="G5" s="444"/>
      <c r="H5" s="444"/>
      <c r="I5" s="444"/>
      <c r="J5" s="444"/>
      <c r="K5" s="444"/>
      <c r="L5" s="444"/>
      <c r="M5" s="444"/>
      <c r="N5" s="444"/>
      <c r="O5" s="444"/>
      <c r="P5" s="444"/>
      <c r="Q5" s="444"/>
      <c r="R5" s="444"/>
      <c r="S5" s="444"/>
      <c r="T5" s="444"/>
    </row>
    <row r="8" spans="1:20" x14ac:dyDescent="0.3">
      <c r="A8" s="515" t="s">
        <v>177</v>
      </c>
      <c r="B8" s="516"/>
      <c r="C8" s="516"/>
      <c r="D8" s="516"/>
      <c r="E8" s="516"/>
      <c r="F8" s="516"/>
      <c r="G8" s="516"/>
      <c r="H8" s="516"/>
      <c r="I8" s="516"/>
      <c r="J8" s="516"/>
      <c r="K8" s="516"/>
      <c r="L8" s="516"/>
      <c r="M8" s="516"/>
      <c r="N8" s="516"/>
      <c r="O8" s="516"/>
      <c r="P8" s="516"/>
      <c r="Q8" s="516"/>
      <c r="R8" s="516"/>
      <c r="S8" s="516"/>
      <c r="T8" s="517"/>
    </row>
    <row r="9" spans="1:20" x14ac:dyDescent="0.3">
      <c r="A9" s="184"/>
      <c r="B9" s="213"/>
      <c r="C9" s="213"/>
      <c r="D9" s="213"/>
      <c r="E9" s="184"/>
      <c r="F9" s="184"/>
      <c r="G9" s="184"/>
      <c r="H9" s="184"/>
      <c r="I9" s="184"/>
      <c r="J9" s="184"/>
      <c r="K9" s="184"/>
      <c r="L9" s="184"/>
      <c r="M9" s="184"/>
      <c r="N9" s="184"/>
      <c r="O9" s="184"/>
      <c r="P9" s="184"/>
      <c r="Q9" s="184"/>
      <c r="R9" s="184"/>
      <c r="S9" s="184"/>
      <c r="T9" s="184"/>
    </row>
    <row r="10" spans="1:20" x14ac:dyDescent="0.3">
      <c r="A10" s="184"/>
      <c r="B10" s="213"/>
      <c r="C10" s="213"/>
      <c r="D10" s="213"/>
      <c r="E10" s="184"/>
      <c r="F10" s="184"/>
      <c r="G10" s="184"/>
      <c r="H10" s="184"/>
      <c r="I10" s="184"/>
      <c r="J10" s="184"/>
      <c r="K10" s="184"/>
      <c r="L10" s="184"/>
      <c r="M10" s="184"/>
      <c r="N10" s="184"/>
      <c r="O10" s="184"/>
      <c r="P10" s="184"/>
      <c r="Q10" s="184"/>
      <c r="R10" s="184"/>
      <c r="S10" s="184"/>
      <c r="T10" s="184"/>
    </row>
    <row r="11" spans="1:20" ht="24.9" customHeight="1" x14ac:dyDescent="0.3">
      <c r="A11" s="457" t="s">
        <v>14</v>
      </c>
      <c r="B11" s="457"/>
      <c r="C11" s="519">
        <f>'1 ESTADÍSTICA MENSUAL'!C11:G11</f>
        <v>0</v>
      </c>
      <c r="D11" s="519"/>
      <c r="E11" s="519"/>
      <c r="F11" s="519"/>
      <c r="G11" s="519"/>
      <c r="P11" s="457" t="s">
        <v>39</v>
      </c>
      <c r="Q11" s="457"/>
      <c r="R11" s="518">
        <f>'1 ESTADÍSTICA MENSUAL'!M11</f>
        <v>0</v>
      </c>
      <c r="S11" s="518"/>
      <c r="T11" s="518"/>
    </row>
    <row r="12" spans="1:20" ht="24.9" customHeight="1" x14ac:dyDescent="0.3">
      <c r="A12" s="457" t="s">
        <v>15</v>
      </c>
      <c r="B12" s="457"/>
      <c r="C12" s="518">
        <f>'1 ESTADÍSTICA MENSUAL'!C12:D12</f>
        <v>0</v>
      </c>
      <c r="D12" s="518"/>
      <c r="E12" s="50" t="s">
        <v>131</v>
      </c>
      <c r="F12" s="520">
        <f>'1 ESTADÍSTICA MENSUAL'!F12:G12</f>
        <v>0</v>
      </c>
      <c r="G12" s="520"/>
      <c r="P12" s="530" t="s">
        <v>16</v>
      </c>
      <c r="Q12" s="530"/>
      <c r="R12" s="518">
        <f>'1 ESTADÍSTICA MENSUAL'!M12</f>
        <v>0</v>
      </c>
      <c r="S12" s="518"/>
      <c r="T12" s="518"/>
    </row>
    <row r="13" spans="1:20" ht="25.2" customHeight="1" x14ac:dyDescent="0.3">
      <c r="A13" s="184"/>
      <c r="B13" s="213"/>
      <c r="C13" s="213"/>
      <c r="D13" s="213"/>
      <c r="H13" s="184"/>
      <c r="I13" s="184"/>
      <c r="J13" s="184"/>
      <c r="K13" s="184"/>
      <c r="L13" s="184"/>
      <c r="M13" s="184"/>
      <c r="N13" s="184"/>
      <c r="O13" s="184"/>
      <c r="P13" s="457" t="s">
        <v>40</v>
      </c>
      <c r="Q13" s="457"/>
      <c r="R13" s="518">
        <f>'1 ESTADÍSTICA MENSUAL'!M13</f>
        <v>0</v>
      </c>
      <c r="S13" s="518"/>
      <c r="T13" s="518"/>
    </row>
    <row r="14" spans="1:20" ht="25.2" customHeight="1" thickBot="1" x14ac:dyDescent="0.35">
      <c r="A14" s="184"/>
      <c r="B14" s="213"/>
      <c r="C14" s="213"/>
      <c r="D14" s="213"/>
      <c r="H14" s="184"/>
      <c r="I14" s="184"/>
      <c r="J14" s="184"/>
      <c r="K14" s="184"/>
      <c r="L14" s="184"/>
      <c r="M14" s="184"/>
      <c r="N14" s="184"/>
      <c r="O14" s="184"/>
      <c r="P14" s="184"/>
      <c r="Q14" s="184"/>
      <c r="R14" s="184"/>
      <c r="S14" s="184"/>
      <c r="T14" s="184"/>
    </row>
    <row r="15" spans="1:20" s="116" customFormat="1" ht="31.2" customHeight="1" thickBot="1" x14ac:dyDescent="0.35">
      <c r="A15" s="508" t="s">
        <v>101</v>
      </c>
      <c r="B15" s="509" t="s">
        <v>164</v>
      </c>
      <c r="C15" s="510"/>
      <c r="D15" s="511"/>
      <c r="E15" s="505" t="s">
        <v>102</v>
      </c>
      <c r="F15" s="505" t="s">
        <v>103</v>
      </c>
      <c r="G15" s="505" t="s">
        <v>109</v>
      </c>
      <c r="H15" s="505" t="s">
        <v>182</v>
      </c>
      <c r="I15" s="505" t="s">
        <v>104</v>
      </c>
      <c r="J15" s="506" t="s">
        <v>153</v>
      </c>
      <c r="K15" s="507"/>
      <c r="L15" s="507"/>
      <c r="M15" s="506" t="s">
        <v>20</v>
      </c>
      <c r="N15" s="507"/>
      <c r="O15" s="507"/>
      <c r="P15" s="507" t="s">
        <v>154</v>
      </c>
      <c r="Q15" s="507"/>
      <c r="R15" s="507"/>
      <c r="S15" s="531" t="s">
        <v>165</v>
      </c>
      <c r="T15" s="531" t="s">
        <v>166</v>
      </c>
    </row>
    <row r="16" spans="1:20" s="116" customFormat="1" ht="31.2" customHeight="1" thickBot="1" x14ac:dyDescent="0.35">
      <c r="A16" s="508"/>
      <c r="B16" s="512" t="s">
        <v>158</v>
      </c>
      <c r="C16" s="513"/>
      <c r="D16" s="514"/>
      <c r="E16" s="505"/>
      <c r="F16" s="505"/>
      <c r="G16" s="505"/>
      <c r="H16" s="505"/>
      <c r="I16" s="505"/>
      <c r="J16" s="216" t="s">
        <v>68</v>
      </c>
      <c r="K16" s="217" t="s">
        <v>106</v>
      </c>
      <c r="L16" s="218" t="s">
        <v>107</v>
      </c>
      <c r="M16" s="216" t="s">
        <v>68</v>
      </c>
      <c r="N16" s="217" t="s">
        <v>106</v>
      </c>
      <c r="O16" s="218" t="s">
        <v>107</v>
      </c>
      <c r="P16" s="219" t="s">
        <v>68</v>
      </c>
      <c r="Q16" s="217" t="s">
        <v>106</v>
      </c>
      <c r="R16" s="218" t="s">
        <v>107</v>
      </c>
      <c r="S16" s="532"/>
      <c r="T16" s="532"/>
    </row>
    <row r="17" spans="1:20" s="115" customFormat="1" ht="20.100000000000001" customHeight="1" x14ac:dyDescent="0.3">
      <c r="A17" s="142">
        <v>1</v>
      </c>
      <c r="B17" s="521"/>
      <c r="C17" s="522"/>
      <c r="D17" s="523"/>
      <c r="E17" s="185"/>
      <c r="F17" s="186"/>
      <c r="G17" s="212"/>
      <c r="H17" s="212"/>
      <c r="I17" s="187"/>
      <c r="J17" s="188"/>
      <c r="K17" s="189"/>
      <c r="L17" s="193">
        <f>SUM(J17:K17)</f>
        <v>0</v>
      </c>
      <c r="M17" s="188"/>
      <c r="N17" s="189"/>
      <c r="O17" s="193">
        <f>SUM(M17:N17)</f>
        <v>0</v>
      </c>
      <c r="P17" s="188"/>
      <c r="Q17" s="189"/>
      <c r="R17" s="193">
        <f>SUM(P17:Q17)</f>
        <v>0</v>
      </c>
      <c r="S17" s="308" t="e">
        <f>R17/R13</f>
        <v>#DIV/0!</v>
      </c>
      <c r="T17" s="181" t="e">
        <f>S17*100/O17</f>
        <v>#DIV/0!</v>
      </c>
    </row>
    <row r="18" spans="1:20" s="115" customFormat="1" ht="20.100000000000001" customHeight="1" x14ac:dyDescent="0.3">
      <c r="A18" s="142">
        <v>2</v>
      </c>
      <c r="B18" s="521"/>
      <c r="C18" s="522"/>
      <c r="D18" s="523"/>
      <c r="E18" s="185"/>
      <c r="F18" s="186"/>
      <c r="G18" s="212"/>
      <c r="H18" s="212"/>
      <c r="I18" s="187"/>
      <c r="J18" s="188"/>
      <c r="K18" s="189"/>
      <c r="L18" s="193">
        <f t="shared" ref="L18:L56" si="0">SUM(J18:K18)</f>
        <v>0</v>
      </c>
      <c r="M18" s="188"/>
      <c r="N18" s="189"/>
      <c r="O18" s="193">
        <f t="shared" ref="O18:O56" si="1">SUM(M18:N18)</f>
        <v>0</v>
      </c>
      <c r="P18" s="191"/>
      <c r="Q18" s="192"/>
      <c r="R18" s="193">
        <f t="shared" ref="R18:R56" si="2">SUM(P18:Q18)</f>
        <v>0</v>
      </c>
      <c r="S18" s="309" t="e">
        <f>R18/R13</f>
        <v>#DIV/0!</v>
      </c>
      <c r="T18" s="181" t="e">
        <f t="shared" ref="T18:T56" si="3">S18*100/O18</f>
        <v>#DIV/0!</v>
      </c>
    </row>
    <row r="19" spans="1:20" s="115" customFormat="1" ht="20.100000000000001" customHeight="1" x14ac:dyDescent="0.3">
      <c r="A19" s="142">
        <v>3</v>
      </c>
      <c r="B19" s="521"/>
      <c r="C19" s="522"/>
      <c r="D19" s="523"/>
      <c r="E19" s="185"/>
      <c r="F19" s="186"/>
      <c r="G19" s="212"/>
      <c r="H19" s="212"/>
      <c r="I19" s="187"/>
      <c r="J19" s="188"/>
      <c r="K19" s="189"/>
      <c r="L19" s="193">
        <f t="shared" si="0"/>
        <v>0</v>
      </c>
      <c r="M19" s="188"/>
      <c r="N19" s="189"/>
      <c r="O19" s="193">
        <f t="shared" si="1"/>
        <v>0</v>
      </c>
      <c r="P19" s="188"/>
      <c r="Q19" s="189"/>
      <c r="R19" s="193">
        <f t="shared" si="2"/>
        <v>0</v>
      </c>
      <c r="S19" s="309" t="e">
        <f>R19/R13</f>
        <v>#DIV/0!</v>
      </c>
      <c r="T19" s="181" t="e">
        <f t="shared" si="3"/>
        <v>#DIV/0!</v>
      </c>
    </row>
    <row r="20" spans="1:20" s="115" customFormat="1" ht="20.100000000000001" customHeight="1" x14ac:dyDescent="0.3">
      <c r="A20" s="142">
        <v>4</v>
      </c>
      <c r="B20" s="393"/>
      <c r="C20" s="394"/>
      <c r="D20" s="395"/>
      <c r="E20" s="185"/>
      <c r="F20" s="186"/>
      <c r="G20" s="212"/>
      <c r="H20" s="212"/>
      <c r="I20" s="187"/>
      <c r="J20" s="188"/>
      <c r="K20" s="189"/>
      <c r="L20" s="193">
        <f t="shared" si="0"/>
        <v>0</v>
      </c>
      <c r="M20" s="188"/>
      <c r="N20" s="189"/>
      <c r="O20" s="193">
        <f t="shared" si="1"/>
        <v>0</v>
      </c>
      <c r="P20" s="188"/>
      <c r="Q20" s="189"/>
      <c r="R20" s="193">
        <f t="shared" si="2"/>
        <v>0</v>
      </c>
      <c r="S20" s="309" t="e">
        <f>R20/R13</f>
        <v>#DIV/0!</v>
      </c>
      <c r="T20" s="181" t="e">
        <f t="shared" si="3"/>
        <v>#DIV/0!</v>
      </c>
    </row>
    <row r="21" spans="1:20" s="115" customFormat="1" ht="20.100000000000001" customHeight="1" x14ac:dyDescent="0.3">
      <c r="A21" s="142">
        <v>5</v>
      </c>
      <c r="B21" s="521"/>
      <c r="C21" s="522"/>
      <c r="D21" s="523"/>
      <c r="E21" s="185"/>
      <c r="F21" s="186"/>
      <c r="G21" s="212"/>
      <c r="H21" s="212"/>
      <c r="I21" s="187"/>
      <c r="J21" s="188"/>
      <c r="K21" s="189"/>
      <c r="L21" s="193">
        <f t="shared" si="0"/>
        <v>0</v>
      </c>
      <c r="M21" s="188"/>
      <c r="N21" s="189"/>
      <c r="O21" s="193">
        <f t="shared" si="1"/>
        <v>0</v>
      </c>
      <c r="P21" s="188"/>
      <c r="Q21" s="189"/>
      <c r="R21" s="193">
        <f t="shared" si="2"/>
        <v>0</v>
      </c>
      <c r="S21" s="309" t="e">
        <f>R21/R13</f>
        <v>#DIV/0!</v>
      </c>
      <c r="T21" s="181" t="e">
        <f t="shared" si="3"/>
        <v>#DIV/0!</v>
      </c>
    </row>
    <row r="22" spans="1:20" s="115" customFormat="1" ht="20.100000000000001" customHeight="1" x14ac:dyDescent="0.3">
      <c r="A22" s="142">
        <v>6</v>
      </c>
      <c r="B22" s="521"/>
      <c r="C22" s="522"/>
      <c r="D22" s="523"/>
      <c r="E22" s="185"/>
      <c r="F22" s="186"/>
      <c r="G22" s="212"/>
      <c r="H22" s="212"/>
      <c r="I22" s="187"/>
      <c r="J22" s="188"/>
      <c r="K22" s="189"/>
      <c r="L22" s="193">
        <f t="shared" si="0"/>
        <v>0</v>
      </c>
      <c r="M22" s="188"/>
      <c r="N22" s="189"/>
      <c r="O22" s="193">
        <f t="shared" si="1"/>
        <v>0</v>
      </c>
      <c r="P22" s="188"/>
      <c r="Q22" s="189"/>
      <c r="R22" s="193">
        <f t="shared" si="2"/>
        <v>0</v>
      </c>
      <c r="S22" s="309" t="e">
        <f>R22/R13</f>
        <v>#DIV/0!</v>
      </c>
      <c r="T22" s="181" t="e">
        <f t="shared" si="3"/>
        <v>#DIV/0!</v>
      </c>
    </row>
    <row r="23" spans="1:20" s="115" customFormat="1" ht="20.100000000000001" customHeight="1" x14ac:dyDescent="0.3">
      <c r="A23" s="142">
        <v>7</v>
      </c>
      <c r="B23" s="521"/>
      <c r="C23" s="522"/>
      <c r="D23" s="523"/>
      <c r="E23" s="185"/>
      <c r="F23" s="186"/>
      <c r="G23" s="212"/>
      <c r="H23" s="212"/>
      <c r="I23" s="187"/>
      <c r="J23" s="188"/>
      <c r="K23" s="189"/>
      <c r="L23" s="193">
        <f t="shared" si="0"/>
        <v>0</v>
      </c>
      <c r="M23" s="188"/>
      <c r="N23" s="189"/>
      <c r="O23" s="193">
        <f t="shared" si="1"/>
        <v>0</v>
      </c>
      <c r="P23" s="188"/>
      <c r="Q23" s="189"/>
      <c r="R23" s="193">
        <f t="shared" si="2"/>
        <v>0</v>
      </c>
      <c r="S23" s="309" t="e">
        <f>R23/R13</f>
        <v>#DIV/0!</v>
      </c>
      <c r="T23" s="181" t="e">
        <f t="shared" si="3"/>
        <v>#DIV/0!</v>
      </c>
    </row>
    <row r="24" spans="1:20" s="115" customFormat="1" ht="20.100000000000001" customHeight="1" x14ac:dyDescent="0.3">
      <c r="A24" s="142">
        <v>8</v>
      </c>
      <c r="B24" s="521"/>
      <c r="C24" s="522"/>
      <c r="D24" s="523"/>
      <c r="E24" s="185"/>
      <c r="F24" s="186"/>
      <c r="G24" s="212"/>
      <c r="H24" s="212"/>
      <c r="I24" s="187"/>
      <c r="J24" s="188"/>
      <c r="K24" s="189"/>
      <c r="L24" s="193">
        <f t="shared" si="0"/>
        <v>0</v>
      </c>
      <c r="M24" s="188"/>
      <c r="N24" s="189"/>
      <c r="O24" s="193">
        <f t="shared" si="1"/>
        <v>0</v>
      </c>
      <c r="P24" s="188"/>
      <c r="Q24" s="189"/>
      <c r="R24" s="193">
        <f t="shared" si="2"/>
        <v>0</v>
      </c>
      <c r="S24" s="309" t="e">
        <f>R24/R13</f>
        <v>#DIV/0!</v>
      </c>
      <c r="T24" s="181" t="e">
        <f t="shared" si="3"/>
        <v>#DIV/0!</v>
      </c>
    </row>
    <row r="25" spans="1:20" s="115" customFormat="1" ht="20.100000000000001" customHeight="1" x14ac:dyDescent="0.3">
      <c r="A25" s="142">
        <v>9</v>
      </c>
      <c r="B25" s="521"/>
      <c r="C25" s="522"/>
      <c r="D25" s="523"/>
      <c r="E25" s="185"/>
      <c r="F25" s="186"/>
      <c r="G25" s="212"/>
      <c r="H25" s="212"/>
      <c r="I25" s="187"/>
      <c r="J25" s="188"/>
      <c r="K25" s="189"/>
      <c r="L25" s="193">
        <f t="shared" si="0"/>
        <v>0</v>
      </c>
      <c r="M25" s="188"/>
      <c r="N25" s="189"/>
      <c r="O25" s="193">
        <f t="shared" si="1"/>
        <v>0</v>
      </c>
      <c r="P25" s="188"/>
      <c r="Q25" s="189"/>
      <c r="R25" s="193">
        <f t="shared" si="2"/>
        <v>0</v>
      </c>
      <c r="S25" s="309" t="e">
        <f>R25/R13</f>
        <v>#DIV/0!</v>
      </c>
      <c r="T25" s="181" t="e">
        <f t="shared" si="3"/>
        <v>#DIV/0!</v>
      </c>
    </row>
    <row r="26" spans="1:20" s="115" customFormat="1" ht="20.100000000000001" customHeight="1" x14ac:dyDescent="0.3">
      <c r="A26" s="182">
        <v>10</v>
      </c>
      <c r="B26" s="521"/>
      <c r="C26" s="522"/>
      <c r="D26" s="523"/>
      <c r="E26" s="185"/>
      <c r="F26" s="186"/>
      <c r="G26" s="212"/>
      <c r="H26" s="212"/>
      <c r="I26" s="187"/>
      <c r="J26" s="188"/>
      <c r="K26" s="189"/>
      <c r="L26" s="193">
        <f t="shared" si="0"/>
        <v>0</v>
      </c>
      <c r="M26" s="188"/>
      <c r="N26" s="189"/>
      <c r="O26" s="193">
        <f t="shared" si="1"/>
        <v>0</v>
      </c>
      <c r="P26" s="188"/>
      <c r="Q26" s="189"/>
      <c r="R26" s="193">
        <f t="shared" si="2"/>
        <v>0</v>
      </c>
      <c r="S26" s="309" t="e">
        <f>R26/R13</f>
        <v>#DIV/0!</v>
      </c>
      <c r="T26" s="181" t="e">
        <f t="shared" si="3"/>
        <v>#DIV/0!</v>
      </c>
    </row>
    <row r="27" spans="1:20" s="115" customFormat="1" ht="20.100000000000001" customHeight="1" x14ac:dyDescent="0.3">
      <c r="A27" s="182">
        <v>11</v>
      </c>
      <c r="B27" s="521"/>
      <c r="C27" s="522"/>
      <c r="D27" s="523"/>
      <c r="E27" s="185"/>
      <c r="F27" s="186"/>
      <c r="G27" s="212"/>
      <c r="H27" s="212"/>
      <c r="I27" s="187"/>
      <c r="J27" s="188"/>
      <c r="K27" s="189"/>
      <c r="L27" s="193">
        <f t="shared" si="0"/>
        <v>0</v>
      </c>
      <c r="M27" s="188"/>
      <c r="N27" s="189"/>
      <c r="O27" s="193">
        <f t="shared" si="1"/>
        <v>0</v>
      </c>
      <c r="P27" s="188"/>
      <c r="Q27" s="189"/>
      <c r="R27" s="193">
        <f t="shared" si="2"/>
        <v>0</v>
      </c>
      <c r="S27" s="309" t="e">
        <f>R27/R13</f>
        <v>#DIV/0!</v>
      </c>
      <c r="T27" s="181" t="e">
        <f t="shared" si="3"/>
        <v>#DIV/0!</v>
      </c>
    </row>
    <row r="28" spans="1:20" s="115" customFormat="1" ht="20.100000000000001" customHeight="1" x14ac:dyDescent="0.3">
      <c r="A28" s="182">
        <v>12</v>
      </c>
      <c r="B28" s="521"/>
      <c r="C28" s="522"/>
      <c r="D28" s="523"/>
      <c r="E28" s="185"/>
      <c r="F28" s="186"/>
      <c r="G28" s="212"/>
      <c r="H28" s="212"/>
      <c r="I28" s="187"/>
      <c r="J28" s="188"/>
      <c r="K28" s="189"/>
      <c r="L28" s="193">
        <f t="shared" si="0"/>
        <v>0</v>
      </c>
      <c r="M28" s="188"/>
      <c r="N28" s="189"/>
      <c r="O28" s="193">
        <f t="shared" si="1"/>
        <v>0</v>
      </c>
      <c r="P28" s="188"/>
      <c r="Q28" s="189"/>
      <c r="R28" s="193">
        <f t="shared" si="2"/>
        <v>0</v>
      </c>
      <c r="S28" s="309" t="e">
        <f>R28/R13</f>
        <v>#DIV/0!</v>
      </c>
      <c r="T28" s="181" t="e">
        <f t="shared" si="3"/>
        <v>#DIV/0!</v>
      </c>
    </row>
    <row r="29" spans="1:20" s="115" customFormat="1" ht="20.100000000000001" customHeight="1" x14ac:dyDescent="0.3">
      <c r="A29" s="182">
        <v>13</v>
      </c>
      <c r="B29" s="521"/>
      <c r="C29" s="522"/>
      <c r="D29" s="523"/>
      <c r="E29" s="185"/>
      <c r="F29" s="186"/>
      <c r="G29" s="212"/>
      <c r="H29" s="212"/>
      <c r="I29" s="187"/>
      <c r="J29" s="188"/>
      <c r="K29" s="189"/>
      <c r="L29" s="193">
        <f t="shared" si="0"/>
        <v>0</v>
      </c>
      <c r="M29" s="188"/>
      <c r="N29" s="189"/>
      <c r="O29" s="193">
        <f t="shared" si="1"/>
        <v>0</v>
      </c>
      <c r="P29" s="188"/>
      <c r="Q29" s="189"/>
      <c r="R29" s="193">
        <f t="shared" si="2"/>
        <v>0</v>
      </c>
      <c r="S29" s="309" t="e">
        <f>R29/R13</f>
        <v>#DIV/0!</v>
      </c>
      <c r="T29" s="181" t="e">
        <f t="shared" si="3"/>
        <v>#DIV/0!</v>
      </c>
    </row>
    <row r="30" spans="1:20" s="115" customFormat="1" ht="20.100000000000001" customHeight="1" x14ac:dyDescent="0.3">
      <c r="A30" s="182">
        <v>14</v>
      </c>
      <c r="B30" s="521"/>
      <c r="C30" s="522"/>
      <c r="D30" s="523"/>
      <c r="E30" s="185"/>
      <c r="F30" s="186"/>
      <c r="G30" s="212"/>
      <c r="H30" s="212"/>
      <c r="I30" s="187"/>
      <c r="J30" s="188"/>
      <c r="K30" s="189"/>
      <c r="L30" s="193">
        <f t="shared" si="0"/>
        <v>0</v>
      </c>
      <c r="M30" s="188"/>
      <c r="N30" s="189"/>
      <c r="O30" s="193">
        <f t="shared" si="1"/>
        <v>0</v>
      </c>
      <c r="P30" s="188"/>
      <c r="Q30" s="189"/>
      <c r="R30" s="193">
        <f t="shared" si="2"/>
        <v>0</v>
      </c>
      <c r="S30" s="309" t="e">
        <f>R30/R13</f>
        <v>#DIV/0!</v>
      </c>
      <c r="T30" s="181" t="e">
        <f t="shared" si="3"/>
        <v>#DIV/0!</v>
      </c>
    </row>
    <row r="31" spans="1:20" s="115" customFormat="1" ht="20.100000000000001" customHeight="1" x14ac:dyDescent="0.3">
      <c r="A31" s="182">
        <v>15</v>
      </c>
      <c r="B31" s="521"/>
      <c r="C31" s="522"/>
      <c r="D31" s="523"/>
      <c r="E31" s="185"/>
      <c r="F31" s="186"/>
      <c r="G31" s="212"/>
      <c r="H31" s="212"/>
      <c r="I31" s="187"/>
      <c r="J31" s="188"/>
      <c r="K31" s="189"/>
      <c r="L31" s="193">
        <f t="shared" si="0"/>
        <v>0</v>
      </c>
      <c r="M31" s="188"/>
      <c r="N31" s="189"/>
      <c r="O31" s="193">
        <f t="shared" si="1"/>
        <v>0</v>
      </c>
      <c r="P31" s="188"/>
      <c r="Q31" s="189"/>
      <c r="R31" s="193">
        <f t="shared" si="2"/>
        <v>0</v>
      </c>
      <c r="S31" s="309" t="e">
        <f>R31/R13</f>
        <v>#DIV/0!</v>
      </c>
      <c r="T31" s="181" t="e">
        <f t="shared" si="3"/>
        <v>#DIV/0!</v>
      </c>
    </row>
    <row r="32" spans="1:20" s="115" customFormat="1" ht="20.100000000000001" customHeight="1" x14ac:dyDescent="0.3">
      <c r="A32" s="182">
        <v>16</v>
      </c>
      <c r="B32" s="521"/>
      <c r="C32" s="522"/>
      <c r="D32" s="523"/>
      <c r="E32" s="185"/>
      <c r="F32" s="186"/>
      <c r="G32" s="212"/>
      <c r="H32" s="212"/>
      <c r="I32" s="187"/>
      <c r="J32" s="188"/>
      <c r="K32" s="189"/>
      <c r="L32" s="193">
        <f t="shared" si="0"/>
        <v>0</v>
      </c>
      <c r="M32" s="188"/>
      <c r="N32" s="189"/>
      <c r="O32" s="193">
        <f t="shared" si="1"/>
        <v>0</v>
      </c>
      <c r="P32" s="188"/>
      <c r="Q32" s="189"/>
      <c r="R32" s="193">
        <f t="shared" si="2"/>
        <v>0</v>
      </c>
      <c r="S32" s="309" t="e">
        <f>R32/R13</f>
        <v>#DIV/0!</v>
      </c>
      <c r="T32" s="181" t="e">
        <f t="shared" si="3"/>
        <v>#DIV/0!</v>
      </c>
    </row>
    <row r="33" spans="1:20" s="115" customFormat="1" ht="20.100000000000001" customHeight="1" x14ac:dyDescent="0.3">
      <c r="A33" s="182">
        <v>17</v>
      </c>
      <c r="B33" s="521"/>
      <c r="C33" s="522"/>
      <c r="D33" s="523"/>
      <c r="E33" s="185"/>
      <c r="F33" s="186"/>
      <c r="G33" s="212"/>
      <c r="H33" s="212"/>
      <c r="I33" s="187"/>
      <c r="J33" s="188"/>
      <c r="K33" s="189"/>
      <c r="L33" s="193">
        <f t="shared" si="0"/>
        <v>0</v>
      </c>
      <c r="M33" s="188"/>
      <c r="N33" s="189"/>
      <c r="O33" s="193">
        <f t="shared" si="1"/>
        <v>0</v>
      </c>
      <c r="P33" s="188"/>
      <c r="Q33" s="189"/>
      <c r="R33" s="193">
        <f t="shared" si="2"/>
        <v>0</v>
      </c>
      <c r="S33" s="309" t="e">
        <f>R33/R13</f>
        <v>#DIV/0!</v>
      </c>
      <c r="T33" s="181" t="e">
        <f t="shared" si="3"/>
        <v>#DIV/0!</v>
      </c>
    </row>
    <row r="34" spans="1:20" s="115" customFormat="1" ht="20.100000000000001" customHeight="1" x14ac:dyDescent="0.3">
      <c r="A34" s="182">
        <v>18</v>
      </c>
      <c r="B34" s="521"/>
      <c r="C34" s="522"/>
      <c r="D34" s="523"/>
      <c r="E34" s="185"/>
      <c r="F34" s="186"/>
      <c r="G34" s="212"/>
      <c r="H34" s="212"/>
      <c r="I34" s="187"/>
      <c r="J34" s="188"/>
      <c r="K34" s="189"/>
      <c r="L34" s="193">
        <f t="shared" si="0"/>
        <v>0</v>
      </c>
      <c r="M34" s="188"/>
      <c r="N34" s="189"/>
      <c r="O34" s="193">
        <f t="shared" si="1"/>
        <v>0</v>
      </c>
      <c r="P34" s="188"/>
      <c r="Q34" s="189"/>
      <c r="R34" s="193">
        <f t="shared" si="2"/>
        <v>0</v>
      </c>
      <c r="S34" s="309" t="e">
        <f>R34/R13</f>
        <v>#DIV/0!</v>
      </c>
      <c r="T34" s="181" t="e">
        <f t="shared" si="3"/>
        <v>#DIV/0!</v>
      </c>
    </row>
    <row r="35" spans="1:20" s="115" customFormat="1" ht="20.100000000000001" customHeight="1" x14ac:dyDescent="0.3">
      <c r="A35" s="182">
        <v>19</v>
      </c>
      <c r="B35" s="521"/>
      <c r="C35" s="522"/>
      <c r="D35" s="523"/>
      <c r="E35" s="185"/>
      <c r="F35" s="186"/>
      <c r="G35" s="212"/>
      <c r="H35" s="212"/>
      <c r="I35" s="187"/>
      <c r="J35" s="188"/>
      <c r="K35" s="189"/>
      <c r="L35" s="193">
        <f t="shared" si="0"/>
        <v>0</v>
      </c>
      <c r="M35" s="188"/>
      <c r="N35" s="189"/>
      <c r="O35" s="193">
        <f t="shared" si="1"/>
        <v>0</v>
      </c>
      <c r="P35" s="188"/>
      <c r="Q35" s="189"/>
      <c r="R35" s="193">
        <f t="shared" si="2"/>
        <v>0</v>
      </c>
      <c r="S35" s="309" t="e">
        <f>R35/R13</f>
        <v>#DIV/0!</v>
      </c>
      <c r="T35" s="181" t="e">
        <f t="shared" si="3"/>
        <v>#DIV/0!</v>
      </c>
    </row>
    <row r="36" spans="1:20" s="115" customFormat="1" ht="20.100000000000001" customHeight="1" thickBot="1" x14ac:dyDescent="0.35">
      <c r="A36" s="182">
        <v>20</v>
      </c>
      <c r="B36" s="524"/>
      <c r="C36" s="525"/>
      <c r="D36" s="526"/>
      <c r="E36" s="185"/>
      <c r="F36" s="186"/>
      <c r="G36" s="186"/>
      <c r="H36" s="212"/>
      <c r="I36" s="187"/>
      <c r="J36" s="188"/>
      <c r="K36" s="189"/>
      <c r="L36" s="193">
        <f t="shared" si="0"/>
        <v>0</v>
      </c>
      <c r="M36" s="188"/>
      <c r="N36" s="189"/>
      <c r="O36" s="193">
        <f t="shared" si="1"/>
        <v>0</v>
      </c>
      <c r="P36" s="188"/>
      <c r="Q36" s="189"/>
      <c r="R36" s="193">
        <f t="shared" si="2"/>
        <v>0</v>
      </c>
      <c r="S36" s="309" t="e">
        <f>R36/R13</f>
        <v>#DIV/0!</v>
      </c>
      <c r="T36" s="181" t="e">
        <f t="shared" si="3"/>
        <v>#DIV/0!</v>
      </c>
    </row>
    <row r="37" spans="1:20" s="115" customFormat="1" ht="20.100000000000001" customHeight="1" thickBot="1" x14ac:dyDescent="0.35">
      <c r="A37" s="182">
        <v>21</v>
      </c>
      <c r="B37" s="524"/>
      <c r="C37" s="525"/>
      <c r="D37" s="526"/>
      <c r="E37" s="185"/>
      <c r="F37" s="186"/>
      <c r="G37" s="186"/>
      <c r="H37" s="212"/>
      <c r="I37" s="187"/>
      <c r="J37" s="188"/>
      <c r="K37" s="189"/>
      <c r="L37" s="193">
        <f t="shared" si="0"/>
        <v>0</v>
      </c>
      <c r="M37" s="188"/>
      <c r="N37" s="189"/>
      <c r="O37" s="193">
        <f t="shared" si="1"/>
        <v>0</v>
      </c>
      <c r="P37" s="188"/>
      <c r="Q37" s="189"/>
      <c r="R37" s="193">
        <f t="shared" si="2"/>
        <v>0</v>
      </c>
      <c r="S37" s="309" t="e">
        <f>R37/R13</f>
        <v>#DIV/0!</v>
      </c>
      <c r="T37" s="181" t="e">
        <f t="shared" si="3"/>
        <v>#DIV/0!</v>
      </c>
    </row>
    <row r="38" spans="1:20" s="115" customFormat="1" ht="20.100000000000001" customHeight="1" x14ac:dyDescent="0.3">
      <c r="A38" s="182">
        <v>22</v>
      </c>
      <c r="B38" s="521"/>
      <c r="C38" s="522"/>
      <c r="D38" s="523"/>
      <c r="E38" s="185"/>
      <c r="F38" s="186"/>
      <c r="G38" s="186"/>
      <c r="H38" s="212"/>
      <c r="I38" s="187"/>
      <c r="J38" s="188"/>
      <c r="K38" s="189"/>
      <c r="L38" s="193">
        <f t="shared" si="0"/>
        <v>0</v>
      </c>
      <c r="M38" s="188"/>
      <c r="N38" s="189"/>
      <c r="O38" s="193">
        <f t="shared" si="1"/>
        <v>0</v>
      </c>
      <c r="P38" s="188"/>
      <c r="Q38" s="189"/>
      <c r="R38" s="193">
        <f t="shared" si="2"/>
        <v>0</v>
      </c>
      <c r="S38" s="309" t="e">
        <f>R38/R13</f>
        <v>#DIV/0!</v>
      </c>
      <c r="T38" s="181" t="e">
        <f t="shared" si="3"/>
        <v>#DIV/0!</v>
      </c>
    </row>
    <row r="39" spans="1:20" s="115" customFormat="1" ht="20.100000000000001" customHeight="1" x14ac:dyDescent="0.3">
      <c r="A39" s="182">
        <v>23</v>
      </c>
      <c r="B39" s="401"/>
      <c r="C39" s="402"/>
      <c r="D39" s="403"/>
      <c r="E39" s="185"/>
      <c r="F39" s="186"/>
      <c r="G39" s="186"/>
      <c r="H39" s="212"/>
      <c r="I39" s="187"/>
      <c r="J39" s="188"/>
      <c r="K39" s="189"/>
      <c r="L39" s="193">
        <f t="shared" si="0"/>
        <v>0</v>
      </c>
      <c r="M39" s="188"/>
      <c r="N39" s="189"/>
      <c r="O39" s="193">
        <f t="shared" si="1"/>
        <v>0</v>
      </c>
      <c r="P39" s="188"/>
      <c r="Q39" s="189"/>
      <c r="R39" s="193">
        <f t="shared" si="2"/>
        <v>0</v>
      </c>
      <c r="S39" s="309" t="e">
        <f>R39/R13</f>
        <v>#DIV/0!</v>
      </c>
      <c r="T39" s="181" t="e">
        <f t="shared" si="3"/>
        <v>#DIV/0!</v>
      </c>
    </row>
    <row r="40" spans="1:20" s="115" customFormat="1" ht="20.100000000000001" customHeight="1" x14ac:dyDescent="0.3">
      <c r="A40" s="182">
        <v>24</v>
      </c>
      <c r="B40" s="521"/>
      <c r="C40" s="522"/>
      <c r="D40" s="523"/>
      <c r="E40" s="185"/>
      <c r="F40" s="186"/>
      <c r="G40" s="186"/>
      <c r="H40" s="212"/>
      <c r="I40" s="187"/>
      <c r="J40" s="188"/>
      <c r="K40" s="189"/>
      <c r="L40" s="193">
        <f t="shared" si="0"/>
        <v>0</v>
      </c>
      <c r="M40" s="188"/>
      <c r="N40" s="189"/>
      <c r="O40" s="193">
        <f t="shared" si="1"/>
        <v>0</v>
      </c>
      <c r="P40" s="188"/>
      <c r="Q40" s="189"/>
      <c r="R40" s="193">
        <f t="shared" si="2"/>
        <v>0</v>
      </c>
      <c r="S40" s="309" t="e">
        <f>R40/R13</f>
        <v>#DIV/0!</v>
      </c>
      <c r="T40" s="181" t="e">
        <f t="shared" si="3"/>
        <v>#DIV/0!</v>
      </c>
    </row>
    <row r="41" spans="1:20" s="115" customFormat="1" ht="20.100000000000001" customHeight="1" x14ac:dyDescent="0.3">
      <c r="A41" s="182">
        <v>25</v>
      </c>
      <c r="B41" s="521"/>
      <c r="C41" s="522"/>
      <c r="D41" s="523"/>
      <c r="E41" s="185"/>
      <c r="F41" s="186"/>
      <c r="G41" s="186"/>
      <c r="H41" s="212"/>
      <c r="I41" s="187"/>
      <c r="J41" s="188"/>
      <c r="K41" s="189"/>
      <c r="L41" s="193">
        <f t="shared" si="0"/>
        <v>0</v>
      </c>
      <c r="M41" s="188"/>
      <c r="N41" s="189"/>
      <c r="O41" s="193">
        <f t="shared" si="1"/>
        <v>0</v>
      </c>
      <c r="P41" s="188"/>
      <c r="Q41" s="189"/>
      <c r="R41" s="193">
        <f t="shared" si="2"/>
        <v>0</v>
      </c>
      <c r="S41" s="309" t="e">
        <f>R41/R13</f>
        <v>#DIV/0!</v>
      </c>
      <c r="T41" s="181" t="e">
        <f t="shared" si="3"/>
        <v>#DIV/0!</v>
      </c>
    </row>
    <row r="42" spans="1:20" s="115" customFormat="1" ht="20.100000000000001" customHeight="1" x14ac:dyDescent="0.3">
      <c r="A42" s="182">
        <v>26</v>
      </c>
      <c r="B42" s="521"/>
      <c r="C42" s="522"/>
      <c r="D42" s="523"/>
      <c r="E42" s="185"/>
      <c r="F42" s="186"/>
      <c r="G42" s="186"/>
      <c r="H42" s="212"/>
      <c r="I42" s="187"/>
      <c r="J42" s="188"/>
      <c r="K42" s="189"/>
      <c r="L42" s="193">
        <f t="shared" si="0"/>
        <v>0</v>
      </c>
      <c r="M42" s="188"/>
      <c r="N42" s="189"/>
      <c r="O42" s="193">
        <f t="shared" si="1"/>
        <v>0</v>
      </c>
      <c r="P42" s="188"/>
      <c r="Q42" s="189"/>
      <c r="R42" s="193">
        <f t="shared" si="2"/>
        <v>0</v>
      </c>
      <c r="S42" s="309" t="e">
        <f>R42/R13</f>
        <v>#DIV/0!</v>
      </c>
      <c r="T42" s="181" t="e">
        <f t="shared" si="3"/>
        <v>#DIV/0!</v>
      </c>
    </row>
    <row r="43" spans="1:20" s="115" customFormat="1" ht="20.100000000000001" customHeight="1" thickBot="1" x14ac:dyDescent="0.35">
      <c r="A43" s="182">
        <v>27</v>
      </c>
      <c r="B43" s="521"/>
      <c r="C43" s="522"/>
      <c r="D43" s="523"/>
      <c r="E43" s="185"/>
      <c r="F43" s="186"/>
      <c r="G43" s="186"/>
      <c r="H43" s="212"/>
      <c r="I43" s="187"/>
      <c r="J43" s="188"/>
      <c r="K43" s="189"/>
      <c r="L43" s="193">
        <f t="shared" si="0"/>
        <v>0</v>
      </c>
      <c r="M43" s="188"/>
      <c r="N43" s="189"/>
      <c r="O43" s="193">
        <f t="shared" si="1"/>
        <v>0</v>
      </c>
      <c r="P43" s="188"/>
      <c r="Q43" s="189"/>
      <c r="R43" s="193">
        <f t="shared" si="2"/>
        <v>0</v>
      </c>
      <c r="S43" s="309" t="e">
        <f>R43/R13</f>
        <v>#DIV/0!</v>
      </c>
      <c r="T43" s="181" t="e">
        <f t="shared" si="3"/>
        <v>#DIV/0!</v>
      </c>
    </row>
    <row r="44" spans="1:20" s="115" customFormat="1" ht="20.100000000000001" customHeight="1" x14ac:dyDescent="0.3">
      <c r="A44" s="182">
        <v>28</v>
      </c>
      <c r="B44" s="527"/>
      <c r="C44" s="528"/>
      <c r="D44" s="529"/>
      <c r="E44" s="185"/>
      <c r="F44" s="186"/>
      <c r="G44" s="186"/>
      <c r="H44" s="212"/>
      <c r="I44" s="187"/>
      <c r="J44" s="188"/>
      <c r="K44" s="189"/>
      <c r="L44" s="193">
        <f t="shared" si="0"/>
        <v>0</v>
      </c>
      <c r="M44" s="188"/>
      <c r="N44" s="189"/>
      <c r="O44" s="193">
        <f t="shared" si="1"/>
        <v>0</v>
      </c>
      <c r="P44" s="188"/>
      <c r="Q44" s="189"/>
      <c r="R44" s="193">
        <f t="shared" si="2"/>
        <v>0</v>
      </c>
      <c r="S44" s="309" t="e">
        <f>R44/R13</f>
        <v>#DIV/0!</v>
      </c>
      <c r="T44" s="181" t="e">
        <f t="shared" si="3"/>
        <v>#DIV/0!</v>
      </c>
    </row>
    <row r="45" spans="1:20" s="115" customFormat="1" ht="20.100000000000001" customHeight="1" x14ac:dyDescent="0.3">
      <c r="A45" s="182">
        <v>29</v>
      </c>
      <c r="B45" s="521"/>
      <c r="C45" s="522"/>
      <c r="D45" s="523"/>
      <c r="E45" s="185"/>
      <c r="F45" s="186"/>
      <c r="G45" s="186"/>
      <c r="H45" s="212"/>
      <c r="I45" s="187"/>
      <c r="J45" s="188"/>
      <c r="K45" s="189"/>
      <c r="L45" s="193">
        <f t="shared" si="0"/>
        <v>0</v>
      </c>
      <c r="M45" s="188"/>
      <c r="N45" s="189"/>
      <c r="O45" s="193">
        <f t="shared" si="1"/>
        <v>0</v>
      </c>
      <c r="P45" s="188"/>
      <c r="Q45" s="189"/>
      <c r="R45" s="193">
        <f t="shared" si="2"/>
        <v>0</v>
      </c>
      <c r="S45" s="309" t="e">
        <f>R45/R13</f>
        <v>#DIV/0!</v>
      </c>
      <c r="T45" s="181" t="e">
        <f t="shared" si="3"/>
        <v>#DIV/0!</v>
      </c>
    </row>
    <row r="46" spans="1:20" s="115" customFormat="1" ht="20.100000000000001" customHeight="1" x14ac:dyDescent="0.3">
      <c r="A46" s="182">
        <v>30</v>
      </c>
      <c r="B46" s="521"/>
      <c r="C46" s="522"/>
      <c r="D46" s="523"/>
      <c r="E46" s="185"/>
      <c r="F46" s="186"/>
      <c r="G46" s="186"/>
      <c r="H46" s="212"/>
      <c r="I46" s="187"/>
      <c r="J46" s="188"/>
      <c r="K46" s="189"/>
      <c r="L46" s="193">
        <f t="shared" si="0"/>
        <v>0</v>
      </c>
      <c r="M46" s="188"/>
      <c r="N46" s="189"/>
      <c r="O46" s="193">
        <f t="shared" si="1"/>
        <v>0</v>
      </c>
      <c r="P46" s="188"/>
      <c r="Q46" s="189"/>
      <c r="R46" s="193">
        <f t="shared" si="2"/>
        <v>0</v>
      </c>
      <c r="S46" s="309" t="e">
        <f>R46/R13</f>
        <v>#DIV/0!</v>
      </c>
      <c r="T46" s="181" t="e">
        <f t="shared" si="3"/>
        <v>#DIV/0!</v>
      </c>
    </row>
    <row r="47" spans="1:20" s="115" customFormat="1" ht="20.100000000000001" customHeight="1" x14ac:dyDescent="0.3">
      <c r="A47" s="182">
        <v>31</v>
      </c>
      <c r="B47" s="521"/>
      <c r="C47" s="522"/>
      <c r="D47" s="523"/>
      <c r="E47" s="185"/>
      <c r="F47" s="186"/>
      <c r="G47" s="186"/>
      <c r="H47" s="212"/>
      <c r="I47" s="187"/>
      <c r="J47" s="188"/>
      <c r="K47" s="189"/>
      <c r="L47" s="193">
        <f t="shared" si="0"/>
        <v>0</v>
      </c>
      <c r="M47" s="188"/>
      <c r="N47" s="189"/>
      <c r="O47" s="193">
        <f t="shared" si="1"/>
        <v>0</v>
      </c>
      <c r="P47" s="188"/>
      <c r="Q47" s="189"/>
      <c r="R47" s="193">
        <f t="shared" si="2"/>
        <v>0</v>
      </c>
      <c r="S47" s="309" t="e">
        <f>R47/R13</f>
        <v>#DIV/0!</v>
      </c>
      <c r="T47" s="181" t="e">
        <f t="shared" si="3"/>
        <v>#DIV/0!</v>
      </c>
    </row>
    <row r="48" spans="1:20" s="115" customFormat="1" ht="20.100000000000001" customHeight="1" x14ac:dyDescent="0.3">
      <c r="A48" s="182">
        <v>32</v>
      </c>
      <c r="B48" s="521"/>
      <c r="C48" s="522"/>
      <c r="D48" s="523"/>
      <c r="E48" s="185"/>
      <c r="F48" s="186"/>
      <c r="G48" s="186"/>
      <c r="H48" s="212"/>
      <c r="I48" s="187"/>
      <c r="J48" s="188"/>
      <c r="K48" s="189"/>
      <c r="L48" s="193">
        <f t="shared" si="0"/>
        <v>0</v>
      </c>
      <c r="M48" s="188"/>
      <c r="N48" s="189"/>
      <c r="O48" s="193">
        <f t="shared" si="1"/>
        <v>0</v>
      </c>
      <c r="P48" s="188"/>
      <c r="Q48" s="189"/>
      <c r="R48" s="193">
        <f t="shared" si="2"/>
        <v>0</v>
      </c>
      <c r="S48" s="309" t="e">
        <f>R48/R13</f>
        <v>#DIV/0!</v>
      </c>
      <c r="T48" s="181" t="e">
        <f t="shared" si="3"/>
        <v>#DIV/0!</v>
      </c>
    </row>
    <row r="49" spans="1:20" s="115" customFormat="1" ht="20.100000000000001" customHeight="1" thickBot="1" x14ac:dyDescent="0.35">
      <c r="A49" s="182">
        <v>33</v>
      </c>
      <c r="B49" s="521"/>
      <c r="C49" s="522"/>
      <c r="D49" s="523"/>
      <c r="E49" s="185"/>
      <c r="F49" s="186"/>
      <c r="G49" s="186"/>
      <c r="H49" s="212"/>
      <c r="I49" s="187"/>
      <c r="J49" s="188"/>
      <c r="K49" s="189"/>
      <c r="L49" s="193">
        <f t="shared" si="0"/>
        <v>0</v>
      </c>
      <c r="M49" s="188"/>
      <c r="N49" s="189"/>
      <c r="O49" s="193">
        <f t="shared" si="1"/>
        <v>0</v>
      </c>
      <c r="P49" s="188"/>
      <c r="Q49" s="189"/>
      <c r="R49" s="193">
        <f t="shared" si="2"/>
        <v>0</v>
      </c>
      <c r="S49" s="309" t="e">
        <f>R49/R13</f>
        <v>#DIV/0!</v>
      </c>
      <c r="T49" s="181" t="e">
        <f t="shared" si="3"/>
        <v>#DIV/0!</v>
      </c>
    </row>
    <row r="50" spans="1:20" s="115" customFormat="1" ht="20.100000000000001" customHeight="1" x14ac:dyDescent="0.3">
      <c r="A50" s="182">
        <v>34</v>
      </c>
      <c r="B50" s="527"/>
      <c r="C50" s="528"/>
      <c r="D50" s="529"/>
      <c r="E50" s="185"/>
      <c r="F50" s="186"/>
      <c r="G50" s="186"/>
      <c r="H50" s="212"/>
      <c r="I50" s="187"/>
      <c r="J50" s="188"/>
      <c r="K50" s="189"/>
      <c r="L50" s="193">
        <f t="shared" si="0"/>
        <v>0</v>
      </c>
      <c r="M50" s="188"/>
      <c r="N50" s="189"/>
      <c r="O50" s="193">
        <f t="shared" si="1"/>
        <v>0</v>
      </c>
      <c r="P50" s="188"/>
      <c r="Q50" s="189"/>
      <c r="R50" s="193">
        <f t="shared" si="2"/>
        <v>0</v>
      </c>
      <c r="S50" s="309" t="e">
        <f>R50/R13</f>
        <v>#DIV/0!</v>
      </c>
      <c r="T50" s="181" t="e">
        <f t="shared" si="3"/>
        <v>#DIV/0!</v>
      </c>
    </row>
    <row r="51" spans="1:20" s="115" customFormat="1" ht="20.100000000000001" customHeight="1" x14ac:dyDescent="0.3">
      <c r="A51" s="182">
        <v>35</v>
      </c>
      <c r="B51" s="521"/>
      <c r="C51" s="522"/>
      <c r="D51" s="523"/>
      <c r="E51" s="185"/>
      <c r="F51" s="186"/>
      <c r="G51" s="186"/>
      <c r="H51" s="212"/>
      <c r="I51" s="187"/>
      <c r="J51" s="188"/>
      <c r="K51" s="189"/>
      <c r="L51" s="193">
        <f t="shared" si="0"/>
        <v>0</v>
      </c>
      <c r="M51" s="188"/>
      <c r="N51" s="189"/>
      <c r="O51" s="193">
        <f t="shared" si="1"/>
        <v>0</v>
      </c>
      <c r="P51" s="188"/>
      <c r="Q51" s="189"/>
      <c r="R51" s="193">
        <f t="shared" si="2"/>
        <v>0</v>
      </c>
      <c r="S51" s="309" t="e">
        <f>R51/R13</f>
        <v>#DIV/0!</v>
      </c>
      <c r="T51" s="181" t="e">
        <f t="shared" si="3"/>
        <v>#DIV/0!</v>
      </c>
    </row>
    <row r="52" spans="1:20" s="115" customFormat="1" ht="20.100000000000001" customHeight="1" x14ac:dyDescent="0.3">
      <c r="A52" s="182">
        <v>36</v>
      </c>
      <c r="B52" s="521"/>
      <c r="C52" s="522"/>
      <c r="D52" s="523"/>
      <c r="E52" s="185"/>
      <c r="F52" s="186"/>
      <c r="G52" s="186"/>
      <c r="H52" s="212"/>
      <c r="I52" s="187"/>
      <c r="J52" s="188"/>
      <c r="K52" s="189"/>
      <c r="L52" s="193">
        <f t="shared" si="0"/>
        <v>0</v>
      </c>
      <c r="M52" s="188"/>
      <c r="N52" s="189"/>
      <c r="O52" s="193">
        <f t="shared" si="1"/>
        <v>0</v>
      </c>
      <c r="P52" s="188"/>
      <c r="Q52" s="189"/>
      <c r="R52" s="193">
        <f t="shared" si="2"/>
        <v>0</v>
      </c>
      <c r="S52" s="309" t="e">
        <f>R52/R13</f>
        <v>#DIV/0!</v>
      </c>
      <c r="T52" s="181" t="e">
        <f t="shared" si="3"/>
        <v>#DIV/0!</v>
      </c>
    </row>
    <row r="53" spans="1:20" s="115" customFormat="1" ht="20.100000000000001" customHeight="1" x14ac:dyDescent="0.3">
      <c r="A53" s="182">
        <v>37</v>
      </c>
      <c r="B53" s="521"/>
      <c r="C53" s="522"/>
      <c r="D53" s="523"/>
      <c r="E53" s="185"/>
      <c r="F53" s="186"/>
      <c r="G53" s="186"/>
      <c r="H53" s="212"/>
      <c r="I53" s="187"/>
      <c r="J53" s="188"/>
      <c r="K53" s="189"/>
      <c r="L53" s="193">
        <f t="shared" si="0"/>
        <v>0</v>
      </c>
      <c r="M53" s="188"/>
      <c r="N53" s="189"/>
      <c r="O53" s="193">
        <f t="shared" si="1"/>
        <v>0</v>
      </c>
      <c r="P53" s="188"/>
      <c r="Q53" s="189"/>
      <c r="R53" s="193">
        <f t="shared" si="2"/>
        <v>0</v>
      </c>
      <c r="S53" s="309" t="e">
        <f>R53/R13</f>
        <v>#DIV/0!</v>
      </c>
      <c r="T53" s="181" t="e">
        <f t="shared" si="3"/>
        <v>#DIV/0!</v>
      </c>
    </row>
    <row r="54" spans="1:20" s="115" customFormat="1" ht="20.100000000000001" customHeight="1" x14ac:dyDescent="0.3">
      <c r="A54" s="182">
        <v>38</v>
      </c>
      <c r="B54" s="521"/>
      <c r="C54" s="522"/>
      <c r="D54" s="523"/>
      <c r="E54" s="185"/>
      <c r="F54" s="186"/>
      <c r="G54" s="186"/>
      <c r="H54" s="212"/>
      <c r="I54" s="187"/>
      <c r="J54" s="188"/>
      <c r="K54" s="189"/>
      <c r="L54" s="193">
        <f t="shared" si="0"/>
        <v>0</v>
      </c>
      <c r="M54" s="188"/>
      <c r="N54" s="189"/>
      <c r="O54" s="193">
        <f t="shared" si="1"/>
        <v>0</v>
      </c>
      <c r="P54" s="188"/>
      <c r="Q54" s="189"/>
      <c r="R54" s="193">
        <f t="shared" si="2"/>
        <v>0</v>
      </c>
      <c r="S54" s="309" t="e">
        <f>R54/R13</f>
        <v>#DIV/0!</v>
      </c>
      <c r="T54" s="181" t="e">
        <f t="shared" si="3"/>
        <v>#DIV/0!</v>
      </c>
    </row>
    <row r="55" spans="1:20" s="115" customFormat="1" ht="20.100000000000001" customHeight="1" x14ac:dyDescent="0.3">
      <c r="A55" s="143">
        <v>39</v>
      </c>
      <c r="B55" s="521"/>
      <c r="C55" s="522"/>
      <c r="D55" s="523"/>
      <c r="E55" s="185"/>
      <c r="F55" s="186"/>
      <c r="G55" s="186"/>
      <c r="H55" s="212"/>
      <c r="I55" s="187"/>
      <c r="J55" s="188"/>
      <c r="K55" s="189"/>
      <c r="L55" s="194">
        <f t="shared" si="0"/>
        <v>0</v>
      </c>
      <c r="M55" s="188"/>
      <c r="N55" s="189"/>
      <c r="O55" s="194">
        <f t="shared" si="1"/>
        <v>0</v>
      </c>
      <c r="P55" s="188"/>
      <c r="Q55" s="189"/>
      <c r="R55" s="194">
        <f t="shared" si="2"/>
        <v>0</v>
      </c>
      <c r="S55" s="309" t="e">
        <f>R55/R13</f>
        <v>#DIV/0!</v>
      </c>
      <c r="T55" s="181" t="e">
        <f t="shared" si="3"/>
        <v>#DIV/0!</v>
      </c>
    </row>
    <row r="56" spans="1:20" s="115" customFormat="1" ht="20.100000000000001" customHeight="1" thickBot="1" x14ac:dyDescent="0.35">
      <c r="A56" s="183">
        <v>40</v>
      </c>
      <c r="B56" s="524"/>
      <c r="C56" s="525"/>
      <c r="D56" s="526"/>
      <c r="E56" s="208"/>
      <c r="F56" s="209"/>
      <c r="G56" s="209"/>
      <c r="H56" s="209"/>
      <c r="I56" s="376"/>
      <c r="J56" s="372"/>
      <c r="K56" s="373"/>
      <c r="L56" s="314">
        <f t="shared" si="0"/>
        <v>0</v>
      </c>
      <c r="M56" s="372"/>
      <c r="N56" s="373"/>
      <c r="O56" s="314">
        <f t="shared" si="1"/>
        <v>0</v>
      </c>
      <c r="P56" s="372"/>
      <c r="Q56" s="373"/>
      <c r="R56" s="314">
        <f t="shared" si="2"/>
        <v>0</v>
      </c>
      <c r="S56" s="374" t="e">
        <f>R56/R13</f>
        <v>#DIV/0!</v>
      </c>
      <c r="T56" s="375" t="e">
        <f t="shared" si="3"/>
        <v>#DIV/0!</v>
      </c>
    </row>
    <row r="57" spans="1:20" ht="24" customHeight="1" thickBot="1" x14ac:dyDescent="0.35">
      <c r="A57" s="21"/>
      <c r="B57" s="214"/>
      <c r="C57" s="214"/>
      <c r="D57" s="214"/>
      <c r="E57" s="177"/>
      <c r="F57" s="178"/>
      <c r="G57" s="178"/>
      <c r="H57" s="178"/>
      <c r="I57" s="378" t="s">
        <v>6</v>
      </c>
      <c r="J57" s="377">
        <f>SUM(J17:J56)</f>
        <v>0</v>
      </c>
      <c r="K57" s="377">
        <f t="shared" ref="K57:S57" si="4">SUM(K17:K56)</f>
        <v>0</v>
      </c>
      <c r="L57" s="377">
        <f t="shared" si="4"/>
        <v>0</v>
      </c>
      <c r="M57" s="377">
        <f t="shared" si="4"/>
        <v>0</v>
      </c>
      <c r="N57" s="377">
        <f t="shared" si="4"/>
        <v>0</v>
      </c>
      <c r="O57" s="377">
        <f t="shared" si="4"/>
        <v>0</v>
      </c>
      <c r="P57" s="377">
        <f t="shared" si="4"/>
        <v>0</v>
      </c>
      <c r="Q57" s="377">
        <f t="shared" si="4"/>
        <v>0</v>
      </c>
      <c r="R57" s="377">
        <f t="shared" si="4"/>
        <v>0</v>
      </c>
      <c r="S57" s="377" t="e">
        <f t="shared" si="4"/>
        <v>#DIV/0!</v>
      </c>
      <c r="T57" s="379"/>
    </row>
    <row r="58" spans="1:20" ht="24" customHeight="1" x14ac:dyDescent="0.3">
      <c r="A58" s="21"/>
      <c r="B58" s="214"/>
      <c r="C58" s="214"/>
      <c r="D58" s="214"/>
      <c r="E58" s="177"/>
      <c r="F58" s="178"/>
      <c r="G58" s="178"/>
      <c r="H58" s="178"/>
      <c r="I58" s="178"/>
      <c r="J58" s="179"/>
      <c r="K58" s="179"/>
      <c r="L58" s="179"/>
      <c r="M58" s="179"/>
      <c r="N58" s="179"/>
      <c r="O58" s="179"/>
      <c r="P58" s="179"/>
      <c r="Q58" s="179"/>
      <c r="R58" s="179"/>
      <c r="S58" s="179"/>
      <c r="T58" s="180"/>
    </row>
    <row r="59" spans="1:20" ht="24" customHeight="1" x14ac:dyDescent="0.3"/>
    <row r="60" spans="1:20" s="17" customFormat="1" ht="19.95" customHeight="1" x14ac:dyDescent="0.25">
      <c r="A60" s="475" t="str">
        <f>'1 ESTADÍSTICA MENSUAL'!A59:C59</f>
        <v>Nombre Director(a):</v>
      </c>
      <c r="B60" s="475"/>
      <c r="C60" s="475"/>
      <c r="D60" s="436">
        <f>'1 ESTADÍSTICA MENSUAL'!D59</f>
        <v>0</v>
      </c>
      <c r="E60" s="436"/>
      <c r="F60" s="436"/>
      <c r="G60" s="436"/>
      <c r="H60" s="196"/>
      <c r="I60" s="259"/>
      <c r="J60" s="259"/>
      <c r="K60" s="259"/>
      <c r="L60" s="80"/>
      <c r="M60" s="80"/>
      <c r="O60" s="504" t="str">
        <f>'1 ESTADÍSTICA MENSUAL'!J59</f>
        <v>CARRIZAL,</v>
      </c>
      <c r="P60" s="504"/>
      <c r="Q60" s="436">
        <f>'1 ESTADÍSTICA MENSUAL'!L59</f>
        <v>0</v>
      </c>
      <c r="R60" s="436"/>
      <c r="S60" s="436"/>
      <c r="T60" s="436"/>
    </row>
    <row r="61" spans="1:20" s="17" customFormat="1" ht="19.95" customHeight="1" x14ac:dyDescent="0.25">
      <c r="A61" s="475" t="str">
        <f>'1 ESTADÍSTICA MENSUAL'!A60:C60</f>
        <v>Cédula de Identidad Nº:</v>
      </c>
      <c r="B61" s="475"/>
      <c r="C61" s="475"/>
      <c r="D61" s="436">
        <f>'1 ESTADÍSTICA MENSUAL'!D60</f>
        <v>0</v>
      </c>
      <c r="E61" s="436"/>
      <c r="F61" s="436"/>
      <c r="G61" s="436"/>
      <c r="H61" s="196"/>
      <c r="I61" s="259"/>
      <c r="J61" s="259"/>
      <c r="K61" s="259"/>
      <c r="L61" s="126"/>
      <c r="M61" s="296"/>
      <c r="O61" s="504" t="str">
        <f>'1 ESTADÍSTICA MENSUAL'!J60</f>
        <v>GUAICAIPURO,</v>
      </c>
      <c r="P61" s="504"/>
      <c r="Q61" s="436">
        <f>'1 ESTADÍSTICA MENSUAL'!L60</f>
        <v>0</v>
      </c>
      <c r="R61" s="436"/>
      <c r="S61" s="436"/>
      <c r="T61" s="436"/>
    </row>
    <row r="62" spans="1:20" s="17" customFormat="1" ht="19.95" customHeight="1" x14ac:dyDescent="0.25">
      <c r="A62" s="475" t="str">
        <f>'1 ESTADÍSTICA MENSUAL'!A61:C61</f>
        <v>Teléfono(s):</v>
      </c>
      <c r="B62" s="475"/>
      <c r="C62" s="475"/>
      <c r="D62" s="436">
        <f>'1 ESTADÍSTICA MENSUAL'!D61</f>
        <v>0</v>
      </c>
      <c r="E62" s="436"/>
      <c r="F62" s="436"/>
      <c r="G62" s="436"/>
      <c r="H62" s="196"/>
      <c r="I62" s="259"/>
      <c r="J62" s="259"/>
      <c r="K62" s="259"/>
      <c r="L62" s="80"/>
      <c r="M62" s="80"/>
      <c r="O62" s="504" t="str">
        <f>'1 ESTADÍSTICA MENSUAL'!J61</f>
        <v>LOS SALIAS,</v>
      </c>
      <c r="P62" s="504"/>
      <c r="Q62" s="436">
        <f>'1 ESTADÍSTICA MENSUAL'!L61</f>
        <v>0</v>
      </c>
      <c r="R62" s="436"/>
      <c r="S62" s="436"/>
      <c r="T62" s="436"/>
    </row>
    <row r="63" spans="1:20" s="17" customFormat="1" ht="19.95" customHeight="1" x14ac:dyDescent="0.25">
      <c r="A63" s="475" t="str">
        <f>'1 ESTADÍSTICA MENSUAL'!A62:C62</f>
        <v>Correo Electrónico:</v>
      </c>
      <c r="B63" s="475"/>
      <c r="C63" s="475"/>
      <c r="D63" s="436">
        <f>'1 ESTADÍSTICA MENSUAL'!D62</f>
        <v>0</v>
      </c>
      <c r="E63" s="436"/>
      <c r="F63" s="436"/>
      <c r="G63" s="436"/>
      <c r="H63" s="196"/>
      <c r="I63" s="259"/>
      <c r="J63" s="259"/>
      <c r="K63" s="259"/>
      <c r="L63" s="80"/>
      <c r="M63" s="80"/>
      <c r="N63" s="80"/>
      <c r="O63" s="80"/>
    </row>
  </sheetData>
  <sheetProtection algorithmName="SHA-512" hashValue="lgfmUD4nkWDp95JUZ2bJkzn9hSBmpEzzaiHxGz0QzfmWitoApuxepf4Zy7WfA5q3omXohVRd5JS/CAHWRak8HQ==" saltValue="HZ4rVgTzZvPQqycYkNWguA==" spinCount="100000" sheet="1" formatCells="0" formatColumns="0" formatRows="0"/>
  <mergeCells count="82">
    <mergeCell ref="P13:Q13"/>
    <mergeCell ref="R13:T13"/>
    <mergeCell ref="Q60:T60"/>
    <mergeCell ref="P11:Q11"/>
    <mergeCell ref="P12:Q12"/>
    <mergeCell ref="S15:S16"/>
    <mergeCell ref="T15:T16"/>
    <mergeCell ref="O60:P60"/>
    <mergeCell ref="A61:C61"/>
    <mergeCell ref="A62:C62"/>
    <mergeCell ref="A63:C63"/>
    <mergeCell ref="D61:G61"/>
    <mergeCell ref="D62:G62"/>
    <mergeCell ref="D63:G63"/>
    <mergeCell ref="B37:D37"/>
    <mergeCell ref="B38:D38"/>
    <mergeCell ref="A60:C60"/>
    <mergeCell ref="D60:G60"/>
    <mergeCell ref="B47:D47"/>
    <mergeCell ref="B52:D52"/>
    <mergeCell ref="B53:D53"/>
    <mergeCell ref="B31:D31"/>
    <mergeCell ref="B32:D32"/>
    <mergeCell ref="B33:D33"/>
    <mergeCell ref="B35:D35"/>
    <mergeCell ref="B36:D36"/>
    <mergeCell ref="B34:D34"/>
    <mergeCell ref="B17:D17"/>
    <mergeCell ref="B18:D18"/>
    <mergeCell ref="B54:D54"/>
    <mergeCell ref="B55:D55"/>
    <mergeCell ref="B56:D56"/>
    <mergeCell ref="B43:D43"/>
    <mergeCell ref="B44:D44"/>
    <mergeCell ref="B45:D45"/>
    <mergeCell ref="B46:D46"/>
    <mergeCell ref="B48:D48"/>
    <mergeCell ref="B49:D49"/>
    <mergeCell ref="B50:D50"/>
    <mergeCell ref="B51:D51"/>
    <mergeCell ref="B40:D40"/>
    <mergeCell ref="B41:D41"/>
    <mergeCell ref="B42:D42"/>
    <mergeCell ref="B30:D30"/>
    <mergeCell ref="B19:D19"/>
    <mergeCell ref="B22:D22"/>
    <mergeCell ref="B23:D23"/>
    <mergeCell ref="B24:D24"/>
    <mergeCell ref="B25:D25"/>
    <mergeCell ref="B26:D26"/>
    <mergeCell ref="B27:D27"/>
    <mergeCell ref="B28:D28"/>
    <mergeCell ref="B29:D29"/>
    <mergeCell ref="B21:D21"/>
    <mergeCell ref="A11:B11"/>
    <mergeCell ref="A12:B12"/>
    <mergeCell ref="A1:T1"/>
    <mergeCell ref="A2:T2"/>
    <mergeCell ref="A3:T3"/>
    <mergeCell ref="A4:T4"/>
    <mergeCell ref="A8:T8"/>
    <mergeCell ref="A5:T5"/>
    <mergeCell ref="R11:T11"/>
    <mergeCell ref="R12:T12"/>
    <mergeCell ref="C11:G11"/>
    <mergeCell ref="F12:G12"/>
    <mergeCell ref="C12:D12"/>
    <mergeCell ref="A15:A16"/>
    <mergeCell ref="E15:E16"/>
    <mergeCell ref="F15:F16"/>
    <mergeCell ref="G15:G16"/>
    <mergeCell ref="H15:H16"/>
    <mergeCell ref="B15:D15"/>
    <mergeCell ref="B16:D16"/>
    <mergeCell ref="O61:P61"/>
    <mergeCell ref="O62:P62"/>
    <mergeCell ref="Q61:T61"/>
    <mergeCell ref="Q62:T62"/>
    <mergeCell ref="I15:I16"/>
    <mergeCell ref="J15:L15"/>
    <mergeCell ref="P15:R15"/>
    <mergeCell ref="M15:O15"/>
  </mergeCells>
  <pageMargins left="0.59055118110236227" right="0.59055118110236227" top="0.39370078740157483" bottom="0.39370078740157483" header="0.31496062992125984" footer="0.31496062992125984"/>
  <pageSetup scale="38" orientation="landscape" r:id="rId1"/>
  <ignoredErrors>
    <ignoredError sqref="T17:T25 T26:T56 S17 S18:S56" evalError="1"/>
  </ignoredErrors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>
          <x14:formula1>
            <xm:f>LISTA!$A$90:$A$94</xm:f>
          </x14:formula1>
          <xm:sqref>G17:G56</xm:sqref>
        </x14:dataValidation>
        <x14:dataValidation type="list" allowBlank="1" showInputMessage="1" showErrorMessage="1">
          <x14:formula1>
            <xm:f>LISTA!$A$77:$A$88</xm:f>
          </x14:formula1>
          <xm:sqref>I17:I56</xm:sqref>
        </x14:dataValidation>
        <x14:dataValidation type="list" allowBlank="1" showInputMessage="1" showErrorMessage="1">
          <x14:formula1>
            <xm:f>LISTA!$A$31:$A$44</xm:f>
          </x14:formula1>
          <xm:sqref>H17:H56</xm:sqref>
        </x14:dataValidation>
        <x14:dataValidation type="list" allowBlank="1" showInputMessage="1" showErrorMessage="1">
          <x14:formula1>
            <xm:f>LISTA!$A$72:$A$75</xm:f>
          </x14:formula1>
          <xm:sqref>F17:F56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</sheetPr>
  <dimension ref="A1:O73"/>
  <sheetViews>
    <sheetView showGridLines="0" view="pageBreakPreview" topLeftCell="A5" zoomScale="70" zoomScaleNormal="80" zoomScaleSheetLayoutView="70" workbookViewId="0">
      <selection activeCell="P59" sqref="P59"/>
    </sheetView>
  </sheetViews>
  <sheetFormatPr baseColWidth="10" defaultColWidth="11.44140625" defaultRowHeight="13.2" x14ac:dyDescent="0.3"/>
  <cols>
    <col min="1" max="1" width="6.88671875" style="49" customWidth="1"/>
    <col min="2" max="4" width="15.6640625" style="215" customWidth="1"/>
    <col min="5" max="7" width="18.6640625" style="50" customWidth="1"/>
    <col min="8" max="14" width="13.6640625" style="49" customWidth="1"/>
    <col min="15" max="15" width="62.6640625" style="49" customWidth="1"/>
    <col min="16" max="16384" width="11.44140625" style="49"/>
  </cols>
  <sheetData>
    <row r="1" spans="1:15" x14ac:dyDescent="0.3">
      <c r="A1" s="503" t="s">
        <v>111</v>
      </c>
      <c r="B1" s="444"/>
      <c r="C1" s="444"/>
      <c r="D1" s="444"/>
      <c r="E1" s="444"/>
      <c r="F1" s="444"/>
      <c r="G1" s="444"/>
      <c r="H1" s="444"/>
      <c r="I1" s="444"/>
      <c r="J1" s="444"/>
      <c r="K1" s="444"/>
      <c r="L1" s="444"/>
      <c r="M1" s="444"/>
      <c r="N1" s="444"/>
      <c r="O1" s="444"/>
    </row>
    <row r="2" spans="1:15" x14ac:dyDescent="0.3">
      <c r="A2" s="444" t="s">
        <v>112</v>
      </c>
      <c r="B2" s="444"/>
      <c r="C2" s="444"/>
      <c r="D2" s="444"/>
      <c r="E2" s="444"/>
      <c r="F2" s="444"/>
      <c r="G2" s="444"/>
      <c r="H2" s="444"/>
      <c r="I2" s="444"/>
      <c r="J2" s="444"/>
      <c r="K2" s="444"/>
      <c r="L2" s="444"/>
      <c r="M2" s="444"/>
      <c r="N2" s="444"/>
      <c r="O2" s="444"/>
    </row>
    <row r="3" spans="1:15" x14ac:dyDescent="0.3">
      <c r="A3" s="444" t="s">
        <v>113</v>
      </c>
      <c r="B3" s="444"/>
      <c r="C3" s="444"/>
      <c r="D3" s="444"/>
      <c r="E3" s="444"/>
      <c r="F3" s="444"/>
      <c r="G3" s="444"/>
      <c r="H3" s="444"/>
      <c r="I3" s="444"/>
      <c r="J3" s="444"/>
      <c r="K3" s="444"/>
      <c r="L3" s="444"/>
      <c r="M3" s="444"/>
      <c r="N3" s="444"/>
      <c r="O3" s="444"/>
    </row>
    <row r="4" spans="1:15" x14ac:dyDescent="0.3">
      <c r="A4" s="444" t="s">
        <v>114</v>
      </c>
      <c r="B4" s="444"/>
      <c r="C4" s="444"/>
      <c r="D4" s="444"/>
      <c r="E4" s="444"/>
      <c r="F4" s="444"/>
      <c r="G4" s="444"/>
      <c r="H4" s="444"/>
      <c r="I4" s="444"/>
      <c r="J4" s="444"/>
      <c r="K4" s="444"/>
      <c r="L4" s="444"/>
      <c r="M4" s="444"/>
      <c r="N4" s="444"/>
      <c r="O4" s="444"/>
    </row>
    <row r="5" spans="1:15" x14ac:dyDescent="0.3">
      <c r="A5" s="444" t="s">
        <v>115</v>
      </c>
      <c r="B5" s="444"/>
      <c r="C5" s="444"/>
      <c r="D5" s="444"/>
      <c r="E5" s="444"/>
      <c r="F5" s="444"/>
      <c r="G5" s="444"/>
      <c r="H5" s="444"/>
      <c r="I5" s="444"/>
      <c r="J5" s="444"/>
      <c r="K5" s="444"/>
      <c r="L5" s="444"/>
      <c r="M5" s="444"/>
      <c r="N5" s="444"/>
      <c r="O5" s="444"/>
    </row>
    <row r="8" spans="1:15" x14ac:dyDescent="0.3">
      <c r="A8" s="515" t="s">
        <v>178</v>
      </c>
      <c r="B8" s="516"/>
      <c r="C8" s="516"/>
      <c r="D8" s="516"/>
      <c r="E8" s="516"/>
      <c r="F8" s="516"/>
      <c r="G8" s="516"/>
      <c r="H8" s="516"/>
      <c r="I8" s="516"/>
      <c r="J8" s="516"/>
      <c r="K8" s="516"/>
      <c r="L8" s="516"/>
      <c r="M8" s="516"/>
      <c r="N8" s="516"/>
      <c r="O8" s="517"/>
    </row>
    <row r="9" spans="1:15" x14ac:dyDescent="0.3">
      <c r="A9" s="184"/>
      <c r="B9" s="213"/>
      <c r="C9" s="213"/>
      <c r="D9" s="213"/>
      <c r="E9" s="184"/>
      <c r="F9" s="184"/>
      <c r="G9" s="184"/>
      <c r="H9" s="184"/>
      <c r="I9" s="184"/>
      <c r="J9" s="184"/>
      <c r="K9" s="184"/>
      <c r="L9" s="184"/>
      <c r="M9" s="184"/>
      <c r="N9" s="184"/>
      <c r="O9" s="184"/>
    </row>
    <row r="10" spans="1:15" x14ac:dyDescent="0.3">
      <c r="A10" s="184"/>
      <c r="B10" s="213"/>
      <c r="C10" s="213"/>
      <c r="D10" s="213"/>
      <c r="E10" s="184"/>
      <c r="F10" s="184"/>
      <c r="G10" s="184"/>
      <c r="H10" s="184"/>
      <c r="I10" s="184"/>
      <c r="J10" s="184"/>
      <c r="K10" s="184"/>
      <c r="L10" s="184"/>
      <c r="M10" s="184"/>
      <c r="N10" s="184"/>
      <c r="O10" s="184"/>
    </row>
    <row r="11" spans="1:15" ht="24.9" customHeight="1" x14ac:dyDescent="0.3">
      <c r="A11" s="457" t="s">
        <v>14</v>
      </c>
      <c r="B11" s="457"/>
      <c r="C11" s="519">
        <f>'1 ESTADÍSTICA MENSUAL'!C11:G11</f>
        <v>0</v>
      </c>
      <c r="D11" s="519"/>
      <c r="E11" s="519"/>
      <c r="F11" s="519"/>
      <c r="J11" s="457" t="s">
        <v>39</v>
      </c>
      <c r="K11" s="457"/>
      <c r="L11" s="518">
        <f>'1 ESTADÍSTICA MENSUAL'!M11</f>
        <v>0</v>
      </c>
      <c r="M11" s="518"/>
      <c r="N11" s="298"/>
    </row>
    <row r="12" spans="1:15" ht="24.9" customHeight="1" x14ac:dyDescent="0.3">
      <c r="A12" s="457" t="s">
        <v>15</v>
      </c>
      <c r="B12" s="457"/>
      <c r="C12" s="518">
        <f>'1 ESTADÍSTICA MENSUAL'!C12:D12</f>
        <v>0</v>
      </c>
      <c r="D12" s="518"/>
      <c r="E12" s="50" t="s">
        <v>131</v>
      </c>
      <c r="F12" s="244">
        <f>'1 ESTADÍSTICA MENSUAL'!F12:G12</f>
        <v>0</v>
      </c>
      <c r="J12" s="530" t="s">
        <v>16</v>
      </c>
      <c r="K12" s="530"/>
      <c r="L12" s="518">
        <f>'1 ESTADÍSTICA MENSUAL'!M12</f>
        <v>0</v>
      </c>
      <c r="M12" s="518"/>
      <c r="N12" s="298"/>
    </row>
    <row r="13" spans="1:15" ht="25.2" customHeight="1" x14ac:dyDescent="0.3">
      <c r="A13" s="184"/>
      <c r="B13" s="213"/>
      <c r="C13" s="213"/>
      <c r="D13" s="213"/>
      <c r="J13" s="457" t="s">
        <v>40</v>
      </c>
      <c r="K13" s="457"/>
      <c r="L13" s="518">
        <f>'1 ESTADÍSTICA MENSUAL'!M13</f>
        <v>0</v>
      </c>
      <c r="M13" s="518"/>
      <c r="N13" s="298"/>
    </row>
    <row r="14" spans="1:15" ht="25.2" customHeight="1" thickBot="1" x14ac:dyDescent="0.35">
      <c r="A14" s="184"/>
      <c r="B14" s="213"/>
      <c r="C14" s="213"/>
      <c r="D14" s="213"/>
      <c r="G14" s="184"/>
      <c r="H14" s="184"/>
      <c r="I14" s="184"/>
      <c r="J14" s="184"/>
      <c r="K14" s="184"/>
      <c r="L14" s="184"/>
      <c r="M14" s="184"/>
      <c r="N14" s="184"/>
      <c r="O14" s="184"/>
    </row>
    <row r="15" spans="1:15" s="116" customFormat="1" ht="31.2" customHeight="1" thickBot="1" x14ac:dyDescent="0.35">
      <c r="A15" s="508" t="s">
        <v>101</v>
      </c>
      <c r="B15" s="509" t="s">
        <v>158</v>
      </c>
      <c r="C15" s="510"/>
      <c r="D15" s="510"/>
      <c r="E15" s="505" t="s">
        <v>102</v>
      </c>
      <c r="F15" s="505" t="s">
        <v>103</v>
      </c>
      <c r="G15" s="505" t="s">
        <v>169</v>
      </c>
      <c r="H15" s="543" t="s">
        <v>105</v>
      </c>
      <c r="I15" s="544"/>
      <c r="J15" s="545"/>
      <c r="K15" s="546" t="s">
        <v>173</v>
      </c>
      <c r="L15" s="547"/>
      <c r="M15" s="506"/>
      <c r="N15" s="535" t="s">
        <v>176</v>
      </c>
      <c r="O15" s="536"/>
    </row>
    <row r="16" spans="1:15" s="116" customFormat="1" ht="30.75" customHeight="1" thickBot="1" x14ac:dyDescent="0.35">
      <c r="A16" s="508"/>
      <c r="B16" s="512"/>
      <c r="C16" s="513"/>
      <c r="D16" s="513"/>
      <c r="E16" s="505"/>
      <c r="F16" s="505"/>
      <c r="G16" s="505"/>
      <c r="H16" s="249" t="s">
        <v>167</v>
      </c>
      <c r="I16" s="250" t="s">
        <v>168</v>
      </c>
      <c r="J16" s="251" t="s">
        <v>108</v>
      </c>
      <c r="K16" s="253" t="s">
        <v>174</v>
      </c>
      <c r="L16" s="254" t="s">
        <v>108</v>
      </c>
      <c r="M16" s="252" t="s">
        <v>175</v>
      </c>
      <c r="N16" s="537"/>
      <c r="O16" s="538"/>
    </row>
    <row r="17" spans="1:15" s="115" customFormat="1" ht="20.100000000000001" customHeight="1" x14ac:dyDescent="0.3">
      <c r="A17" s="142">
        <v>1</v>
      </c>
      <c r="B17" s="527"/>
      <c r="C17" s="528"/>
      <c r="D17" s="529"/>
      <c r="E17" s="185"/>
      <c r="F17" s="186"/>
      <c r="G17" s="212"/>
      <c r="H17" s="311">
        <f>'1 ESTADÍSTICA MENSUAL'!M13</f>
        <v>0</v>
      </c>
      <c r="I17" s="312"/>
      <c r="J17" s="313" t="e">
        <f>I17*100/H17</f>
        <v>#DIV/0!</v>
      </c>
      <c r="K17" s="265">
        <v>0</v>
      </c>
      <c r="L17" s="247" t="e">
        <f t="shared" ref="L17:L48" si="0">K17*100/H17</f>
        <v>#DIV/0!</v>
      </c>
      <c r="M17" s="269"/>
      <c r="N17" s="539"/>
      <c r="O17" s="540"/>
    </row>
    <row r="18" spans="1:15" s="115" customFormat="1" ht="20.100000000000001" customHeight="1" x14ac:dyDescent="0.3">
      <c r="A18" s="142">
        <v>2</v>
      </c>
      <c r="B18" s="548"/>
      <c r="C18" s="549"/>
      <c r="D18" s="550"/>
      <c r="E18" s="190"/>
      <c r="F18" s="186"/>
      <c r="G18" s="212"/>
      <c r="H18" s="245">
        <f>'1 ESTADÍSTICA MENSUAL'!M13</f>
        <v>0</v>
      </c>
      <c r="I18" s="265"/>
      <c r="J18" s="193" t="e">
        <f t="shared" ref="J18:J66" si="1">I18*100/H18</f>
        <v>#DIV/0!</v>
      </c>
      <c r="K18" s="265">
        <v>0</v>
      </c>
      <c r="L18" s="247" t="e">
        <f t="shared" si="0"/>
        <v>#DIV/0!</v>
      </c>
      <c r="M18" s="269"/>
      <c r="N18" s="541"/>
      <c r="O18" s="542"/>
    </row>
    <row r="19" spans="1:15" s="115" customFormat="1" ht="20.100000000000001" customHeight="1" x14ac:dyDescent="0.3">
      <c r="A19" s="142">
        <v>3</v>
      </c>
      <c r="B19" s="521"/>
      <c r="C19" s="522"/>
      <c r="D19" s="523"/>
      <c r="E19" s="185"/>
      <c r="F19" s="186"/>
      <c r="G19" s="212"/>
      <c r="H19" s="245">
        <f>'1 ESTADÍSTICA MENSUAL'!M13</f>
        <v>0</v>
      </c>
      <c r="I19" s="265"/>
      <c r="J19" s="193" t="e">
        <f t="shared" si="1"/>
        <v>#DIV/0!</v>
      </c>
      <c r="K19" s="265">
        <v>0</v>
      </c>
      <c r="L19" s="247" t="e">
        <f t="shared" si="0"/>
        <v>#DIV/0!</v>
      </c>
      <c r="M19" s="269"/>
      <c r="N19" s="533"/>
      <c r="O19" s="534"/>
    </row>
    <row r="20" spans="1:15" s="115" customFormat="1" ht="20.100000000000001" customHeight="1" x14ac:dyDescent="0.3">
      <c r="A20" s="142">
        <v>4</v>
      </c>
      <c r="B20" s="521"/>
      <c r="C20" s="522"/>
      <c r="D20" s="523"/>
      <c r="E20" s="185"/>
      <c r="F20" s="186"/>
      <c r="G20" s="212"/>
      <c r="H20" s="245">
        <f>'1 ESTADÍSTICA MENSUAL'!M13</f>
        <v>0</v>
      </c>
      <c r="I20" s="265"/>
      <c r="J20" s="193" t="e">
        <f t="shared" si="1"/>
        <v>#DIV/0!</v>
      </c>
      <c r="K20" s="265">
        <v>0</v>
      </c>
      <c r="L20" s="247" t="e">
        <f t="shared" si="0"/>
        <v>#DIV/0!</v>
      </c>
      <c r="M20" s="269"/>
      <c r="N20" s="533"/>
      <c r="O20" s="534"/>
    </row>
    <row r="21" spans="1:15" s="115" customFormat="1" ht="20.100000000000001" customHeight="1" x14ac:dyDescent="0.3">
      <c r="A21" s="142">
        <v>5</v>
      </c>
      <c r="B21" s="521"/>
      <c r="C21" s="522"/>
      <c r="D21" s="523"/>
      <c r="E21" s="185"/>
      <c r="F21" s="186"/>
      <c r="G21" s="212"/>
      <c r="H21" s="245">
        <f>'1 ESTADÍSTICA MENSUAL'!M13</f>
        <v>0</v>
      </c>
      <c r="I21" s="265"/>
      <c r="J21" s="193" t="e">
        <f t="shared" si="1"/>
        <v>#DIV/0!</v>
      </c>
      <c r="K21" s="265">
        <v>0</v>
      </c>
      <c r="L21" s="247" t="e">
        <f t="shared" si="0"/>
        <v>#DIV/0!</v>
      </c>
      <c r="M21" s="269"/>
      <c r="N21" s="533"/>
      <c r="O21" s="534"/>
    </row>
    <row r="22" spans="1:15" s="115" customFormat="1" ht="20.100000000000001" customHeight="1" x14ac:dyDescent="0.3">
      <c r="A22" s="142">
        <v>6</v>
      </c>
      <c r="B22" s="521"/>
      <c r="C22" s="522"/>
      <c r="D22" s="523"/>
      <c r="E22" s="185"/>
      <c r="F22" s="186"/>
      <c r="G22" s="212"/>
      <c r="H22" s="245">
        <f>'1 ESTADÍSTICA MENSUAL'!M13</f>
        <v>0</v>
      </c>
      <c r="I22" s="265"/>
      <c r="J22" s="193" t="e">
        <f t="shared" si="1"/>
        <v>#DIV/0!</v>
      </c>
      <c r="K22" s="265">
        <v>4</v>
      </c>
      <c r="L22" s="247" t="e">
        <f t="shared" si="0"/>
        <v>#DIV/0!</v>
      </c>
      <c r="M22" s="269"/>
      <c r="N22" s="533"/>
      <c r="O22" s="534"/>
    </row>
    <row r="23" spans="1:15" s="115" customFormat="1" ht="20.100000000000001" customHeight="1" x14ac:dyDescent="0.3">
      <c r="A23" s="142">
        <v>7</v>
      </c>
      <c r="B23" s="521"/>
      <c r="C23" s="522"/>
      <c r="D23" s="523"/>
      <c r="E23" s="185"/>
      <c r="F23" s="186"/>
      <c r="G23" s="212"/>
      <c r="H23" s="245">
        <f>'1 ESTADÍSTICA MENSUAL'!M13</f>
        <v>0</v>
      </c>
      <c r="I23" s="265"/>
      <c r="J23" s="193" t="e">
        <f t="shared" si="1"/>
        <v>#DIV/0!</v>
      </c>
      <c r="K23" s="265">
        <v>0</v>
      </c>
      <c r="L23" s="247" t="e">
        <f t="shared" si="0"/>
        <v>#DIV/0!</v>
      </c>
      <c r="M23" s="269"/>
      <c r="N23" s="533"/>
      <c r="O23" s="534"/>
    </row>
    <row r="24" spans="1:15" s="115" customFormat="1" ht="20.100000000000001" customHeight="1" x14ac:dyDescent="0.3">
      <c r="A24" s="142">
        <v>8</v>
      </c>
      <c r="B24" s="521"/>
      <c r="C24" s="522"/>
      <c r="D24" s="523"/>
      <c r="E24" s="185"/>
      <c r="F24" s="186"/>
      <c r="G24" s="212"/>
      <c r="H24" s="245">
        <f>'1 ESTADÍSTICA MENSUAL'!M13</f>
        <v>0</v>
      </c>
      <c r="I24" s="265"/>
      <c r="J24" s="193" t="e">
        <f t="shared" si="1"/>
        <v>#DIV/0!</v>
      </c>
      <c r="K24" s="265">
        <v>0</v>
      </c>
      <c r="L24" s="247" t="e">
        <f t="shared" si="0"/>
        <v>#DIV/0!</v>
      </c>
      <c r="M24" s="269"/>
      <c r="N24" s="533"/>
      <c r="O24" s="534"/>
    </row>
    <row r="25" spans="1:15" s="115" customFormat="1" ht="20.100000000000001" customHeight="1" x14ac:dyDescent="0.3">
      <c r="A25" s="142">
        <v>9</v>
      </c>
      <c r="B25" s="396"/>
      <c r="C25" s="397"/>
      <c r="D25" s="398"/>
      <c r="E25" s="185"/>
      <c r="F25" s="186"/>
      <c r="G25" s="212"/>
      <c r="H25" s="245">
        <f>'1 ESTADÍSTICA MENSUAL'!M13</f>
        <v>0</v>
      </c>
      <c r="I25" s="265"/>
      <c r="J25" s="193" t="e">
        <f t="shared" si="1"/>
        <v>#DIV/0!</v>
      </c>
      <c r="K25" s="265">
        <v>0</v>
      </c>
      <c r="L25" s="247" t="e">
        <f t="shared" si="0"/>
        <v>#DIV/0!</v>
      </c>
      <c r="M25" s="269"/>
      <c r="N25" s="533"/>
      <c r="O25" s="534"/>
    </row>
    <row r="26" spans="1:15" s="115" customFormat="1" ht="20.100000000000001" customHeight="1" x14ac:dyDescent="0.3">
      <c r="A26" s="182">
        <v>10</v>
      </c>
      <c r="B26" s="396"/>
      <c r="C26" s="397"/>
      <c r="D26" s="398"/>
      <c r="E26" s="185"/>
      <c r="F26" s="186"/>
      <c r="G26" s="212"/>
      <c r="H26" s="245">
        <f>'1 ESTADÍSTICA MENSUAL'!M13</f>
        <v>0</v>
      </c>
      <c r="I26" s="265"/>
      <c r="J26" s="193" t="e">
        <f t="shared" si="1"/>
        <v>#DIV/0!</v>
      </c>
      <c r="K26" s="265">
        <v>0</v>
      </c>
      <c r="L26" s="247" t="e">
        <f t="shared" si="0"/>
        <v>#DIV/0!</v>
      </c>
      <c r="M26" s="269"/>
      <c r="N26" s="533"/>
      <c r="O26" s="534"/>
    </row>
    <row r="27" spans="1:15" s="115" customFormat="1" ht="20.100000000000001" customHeight="1" x14ac:dyDescent="0.3">
      <c r="A27" s="182">
        <v>11</v>
      </c>
      <c r="B27" s="521"/>
      <c r="C27" s="522"/>
      <c r="D27" s="523"/>
      <c r="E27" s="185"/>
      <c r="F27" s="186"/>
      <c r="G27" s="212"/>
      <c r="H27" s="245">
        <f>'1 ESTADÍSTICA MENSUAL'!M13</f>
        <v>0</v>
      </c>
      <c r="I27" s="265"/>
      <c r="J27" s="193" t="e">
        <f t="shared" si="1"/>
        <v>#DIV/0!</v>
      </c>
      <c r="K27" s="265">
        <v>0</v>
      </c>
      <c r="L27" s="247" t="e">
        <f t="shared" si="0"/>
        <v>#DIV/0!</v>
      </c>
      <c r="M27" s="269"/>
      <c r="N27" s="533"/>
      <c r="O27" s="534"/>
    </row>
    <row r="28" spans="1:15" s="115" customFormat="1" ht="20.100000000000001" customHeight="1" x14ac:dyDescent="0.3">
      <c r="A28" s="182">
        <v>12</v>
      </c>
      <c r="B28" s="521"/>
      <c r="C28" s="522"/>
      <c r="D28" s="523"/>
      <c r="E28" s="185"/>
      <c r="F28" s="186"/>
      <c r="G28" s="212"/>
      <c r="H28" s="245">
        <f>'1 ESTADÍSTICA MENSUAL'!M13</f>
        <v>0</v>
      </c>
      <c r="I28" s="265"/>
      <c r="J28" s="193" t="e">
        <f t="shared" si="1"/>
        <v>#DIV/0!</v>
      </c>
      <c r="K28" s="265">
        <v>0</v>
      </c>
      <c r="L28" s="247" t="e">
        <f t="shared" si="0"/>
        <v>#DIV/0!</v>
      </c>
      <c r="M28" s="269"/>
      <c r="N28" s="533"/>
      <c r="O28" s="534"/>
    </row>
    <row r="29" spans="1:15" s="115" customFormat="1" ht="20.100000000000001" customHeight="1" x14ac:dyDescent="0.3">
      <c r="A29" s="182">
        <v>13</v>
      </c>
      <c r="B29" s="521"/>
      <c r="C29" s="522"/>
      <c r="D29" s="523"/>
      <c r="E29" s="185"/>
      <c r="F29" s="186"/>
      <c r="G29" s="212"/>
      <c r="H29" s="245">
        <f>'1 ESTADÍSTICA MENSUAL'!M13</f>
        <v>0</v>
      </c>
      <c r="I29" s="265"/>
      <c r="J29" s="193" t="e">
        <f t="shared" si="1"/>
        <v>#DIV/0!</v>
      </c>
      <c r="K29" s="265">
        <v>0</v>
      </c>
      <c r="L29" s="247" t="e">
        <f t="shared" si="0"/>
        <v>#DIV/0!</v>
      </c>
      <c r="M29" s="269"/>
      <c r="N29" s="533"/>
      <c r="O29" s="534"/>
    </row>
    <row r="30" spans="1:15" s="115" customFormat="1" ht="20.100000000000001" customHeight="1" x14ac:dyDescent="0.3">
      <c r="A30" s="182">
        <v>14</v>
      </c>
      <c r="B30" s="521"/>
      <c r="C30" s="522"/>
      <c r="D30" s="523"/>
      <c r="E30" s="185"/>
      <c r="F30" s="186"/>
      <c r="G30" s="212"/>
      <c r="H30" s="245">
        <f>'1 ESTADÍSTICA MENSUAL'!M13</f>
        <v>0</v>
      </c>
      <c r="I30" s="265"/>
      <c r="J30" s="193" t="e">
        <f t="shared" si="1"/>
        <v>#DIV/0!</v>
      </c>
      <c r="K30" s="265">
        <v>0</v>
      </c>
      <c r="L30" s="247" t="e">
        <f t="shared" si="0"/>
        <v>#DIV/0!</v>
      </c>
      <c r="M30" s="269"/>
      <c r="N30" s="533"/>
      <c r="O30" s="534"/>
    </row>
    <row r="31" spans="1:15" s="115" customFormat="1" ht="20.100000000000001" customHeight="1" x14ac:dyDescent="0.3">
      <c r="A31" s="182">
        <v>15</v>
      </c>
      <c r="B31" s="521"/>
      <c r="C31" s="522"/>
      <c r="D31" s="523"/>
      <c r="E31" s="185"/>
      <c r="F31" s="186"/>
      <c r="G31" s="212"/>
      <c r="H31" s="245">
        <f>'1 ESTADÍSTICA MENSUAL'!M13</f>
        <v>0</v>
      </c>
      <c r="I31" s="265"/>
      <c r="J31" s="193" t="e">
        <f t="shared" si="1"/>
        <v>#DIV/0!</v>
      </c>
      <c r="K31" s="265">
        <v>0</v>
      </c>
      <c r="L31" s="247" t="e">
        <f t="shared" si="0"/>
        <v>#DIV/0!</v>
      </c>
      <c r="M31" s="269"/>
      <c r="N31" s="533"/>
      <c r="O31" s="534"/>
    </row>
    <row r="32" spans="1:15" s="115" customFormat="1" ht="20.100000000000001" customHeight="1" x14ac:dyDescent="0.3">
      <c r="A32" s="182">
        <v>16</v>
      </c>
      <c r="B32" s="396"/>
      <c r="C32" s="397"/>
      <c r="D32" s="398"/>
      <c r="E32" s="185"/>
      <c r="F32" s="186"/>
      <c r="G32" s="212"/>
      <c r="H32" s="245">
        <f>'1 ESTADÍSTICA MENSUAL'!M13</f>
        <v>0</v>
      </c>
      <c r="I32" s="414"/>
      <c r="J32" s="193" t="e">
        <f t="shared" si="1"/>
        <v>#DIV/0!</v>
      </c>
      <c r="K32" s="265">
        <v>3</v>
      </c>
      <c r="L32" s="247" t="e">
        <f t="shared" si="0"/>
        <v>#DIV/0!</v>
      </c>
      <c r="M32" s="269"/>
      <c r="N32" s="533"/>
      <c r="O32" s="534"/>
    </row>
    <row r="33" spans="1:15" s="115" customFormat="1" ht="20.100000000000001" customHeight="1" x14ac:dyDescent="0.3">
      <c r="A33" s="182">
        <v>17</v>
      </c>
      <c r="B33" s="521"/>
      <c r="C33" s="522"/>
      <c r="D33" s="523"/>
      <c r="E33" s="185"/>
      <c r="F33" s="186"/>
      <c r="G33" s="212"/>
      <c r="H33" s="245">
        <f>'1 ESTADÍSTICA MENSUAL'!M13</f>
        <v>0</v>
      </c>
      <c r="I33" s="265"/>
      <c r="J33" s="193" t="e">
        <f t="shared" si="1"/>
        <v>#DIV/0!</v>
      </c>
      <c r="K33" s="265">
        <v>0</v>
      </c>
      <c r="L33" s="247" t="e">
        <f t="shared" si="0"/>
        <v>#DIV/0!</v>
      </c>
      <c r="M33" s="269"/>
      <c r="N33" s="533"/>
      <c r="O33" s="534"/>
    </row>
    <row r="34" spans="1:15" s="115" customFormat="1" ht="20.100000000000001" customHeight="1" x14ac:dyDescent="0.3">
      <c r="A34" s="182">
        <v>18</v>
      </c>
      <c r="B34" s="521"/>
      <c r="C34" s="522"/>
      <c r="D34" s="523"/>
      <c r="E34" s="185"/>
      <c r="F34" s="186"/>
      <c r="G34" s="212"/>
      <c r="H34" s="245">
        <f>'1 ESTADÍSTICA MENSUAL'!M13</f>
        <v>0</v>
      </c>
      <c r="I34" s="265"/>
      <c r="J34" s="193" t="e">
        <f t="shared" si="1"/>
        <v>#DIV/0!</v>
      </c>
      <c r="K34" s="265">
        <v>0</v>
      </c>
      <c r="L34" s="247" t="e">
        <f t="shared" si="0"/>
        <v>#DIV/0!</v>
      </c>
      <c r="M34" s="269"/>
      <c r="N34" s="533"/>
      <c r="O34" s="534"/>
    </row>
    <row r="35" spans="1:15" s="115" customFormat="1" ht="20.100000000000001" customHeight="1" x14ac:dyDescent="0.3">
      <c r="A35" s="182">
        <v>19</v>
      </c>
      <c r="B35" s="521"/>
      <c r="C35" s="522"/>
      <c r="D35" s="523"/>
      <c r="E35" s="185"/>
      <c r="F35" s="186"/>
      <c r="G35" s="212"/>
      <c r="H35" s="245">
        <f>'1 ESTADÍSTICA MENSUAL'!M13</f>
        <v>0</v>
      </c>
      <c r="I35" s="265"/>
      <c r="J35" s="193" t="e">
        <f t="shared" si="1"/>
        <v>#DIV/0!</v>
      </c>
      <c r="K35" s="265">
        <v>4</v>
      </c>
      <c r="L35" s="247" t="e">
        <f t="shared" si="0"/>
        <v>#DIV/0!</v>
      </c>
      <c r="M35" s="269"/>
      <c r="N35" s="533"/>
      <c r="O35" s="534"/>
    </row>
    <row r="36" spans="1:15" s="115" customFormat="1" ht="20.100000000000001" customHeight="1" x14ac:dyDescent="0.3">
      <c r="A36" s="182">
        <v>20</v>
      </c>
      <c r="B36" s="521"/>
      <c r="C36" s="522"/>
      <c r="D36" s="523"/>
      <c r="E36" s="185"/>
      <c r="F36" s="186"/>
      <c r="G36" s="212"/>
      <c r="H36" s="245">
        <f>'1 ESTADÍSTICA MENSUAL'!M13</f>
        <v>0</v>
      </c>
      <c r="I36" s="265"/>
      <c r="J36" s="193" t="e">
        <f t="shared" si="1"/>
        <v>#DIV/0!</v>
      </c>
      <c r="K36" s="265">
        <v>0</v>
      </c>
      <c r="L36" s="247" t="e">
        <f t="shared" si="0"/>
        <v>#DIV/0!</v>
      </c>
      <c r="M36" s="269"/>
      <c r="N36" s="533"/>
      <c r="O36" s="534"/>
    </row>
    <row r="37" spans="1:15" s="115" customFormat="1" ht="20.100000000000001" customHeight="1" x14ac:dyDescent="0.3">
      <c r="A37" s="182">
        <v>21</v>
      </c>
      <c r="B37" s="521"/>
      <c r="C37" s="522"/>
      <c r="D37" s="523"/>
      <c r="E37" s="185"/>
      <c r="F37" s="186"/>
      <c r="G37" s="212"/>
      <c r="H37" s="245">
        <f>'1 ESTADÍSTICA MENSUAL'!M13</f>
        <v>0</v>
      </c>
      <c r="I37" s="265"/>
      <c r="J37" s="193" t="e">
        <f t="shared" si="1"/>
        <v>#DIV/0!</v>
      </c>
      <c r="K37" s="265">
        <v>0</v>
      </c>
      <c r="L37" s="247" t="e">
        <f t="shared" si="0"/>
        <v>#DIV/0!</v>
      </c>
      <c r="M37" s="269"/>
      <c r="N37" s="533"/>
      <c r="O37" s="534"/>
    </row>
    <row r="38" spans="1:15" s="115" customFormat="1" ht="20.100000000000001" customHeight="1" x14ac:dyDescent="0.3">
      <c r="A38" s="182">
        <v>22</v>
      </c>
      <c r="B38" s="521"/>
      <c r="C38" s="522"/>
      <c r="D38" s="523"/>
      <c r="E38" s="185"/>
      <c r="F38" s="186"/>
      <c r="G38" s="212"/>
      <c r="H38" s="245">
        <f>'1 ESTADÍSTICA MENSUAL'!M13</f>
        <v>0</v>
      </c>
      <c r="I38" s="265"/>
      <c r="J38" s="193" t="e">
        <f t="shared" si="1"/>
        <v>#DIV/0!</v>
      </c>
      <c r="K38" s="265">
        <v>19</v>
      </c>
      <c r="L38" s="247" t="e">
        <f t="shared" si="0"/>
        <v>#DIV/0!</v>
      </c>
      <c r="M38" s="269"/>
      <c r="N38" s="533"/>
      <c r="O38" s="534"/>
    </row>
    <row r="39" spans="1:15" s="115" customFormat="1" ht="20.100000000000001" customHeight="1" x14ac:dyDescent="0.3">
      <c r="A39" s="182">
        <v>23</v>
      </c>
      <c r="B39" s="551"/>
      <c r="C39" s="552"/>
      <c r="D39" s="553"/>
      <c r="E39" s="260"/>
      <c r="F39" s="261"/>
      <c r="G39" s="212"/>
      <c r="H39" s="245">
        <f>'1 ESTADÍSTICA MENSUAL'!M13</f>
        <v>0</v>
      </c>
      <c r="I39" s="266"/>
      <c r="J39" s="193" t="e">
        <f t="shared" si="1"/>
        <v>#DIV/0!</v>
      </c>
      <c r="K39" s="191">
        <v>4</v>
      </c>
      <c r="L39" s="247" t="e">
        <f t="shared" si="0"/>
        <v>#DIV/0!</v>
      </c>
      <c r="M39" s="269"/>
      <c r="N39" s="533"/>
      <c r="O39" s="534"/>
    </row>
    <row r="40" spans="1:15" s="115" customFormat="1" ht="20.100000000000001" customHeight="1" x14ac:dyDescent="0.3">
      <c r="A40" s="182">
        <v>24</v>
      </c>
      <c r="B40" s="521"/>
      <c r="C40" s="522"/>
      <c r="D40" s="523"/>
      <c r="E40" s="190"/>
      <c r="F40" s="263"/>
      <c r="G40" s="212"/>
      <c r="H40" s="245">
        <f>'1 ESTADÍSTICA MENSUAL'!M13</f>
        <v>0</v>
      </c>
      <c r="I40" s="267"/>
      <c r="J40" s="193" t="e">
        <f t="shared" si="1"/>
        <v>#DIV/0!</v>
      </c>
      <c r="K40" s="265">
        <v>1</v>
      </c>
      <c r="L40" s="247" t="e">
        <f t="shared" si="0"/>
        <v>#DIV/0!</v>
      </c>
      <c r="M40" s="269"/>
      <c r="N40" s="533"/>
      <c r="O40" s="534"/>
    </row>
    <row r="41" spans="1:15" s="115" customFormat="1" ht="20.100000000000001" customHeight="1" x14ac:dyDescent="0.3">
      <c r="A41" s="182">
        <v>25</v>
      </c>
      <c r="B41" s="521"/>
      <c r="C41" s="522"/>
      <c r="D41" s="523"/>
      <c r="E41" s="185"/>
      <c r="F41" s="186"/>
      <c r="G41" s="212"/>
      <c r="H41" s="245">
        <f>'1 ESTADÍSTICA MENSUAL'!M13</f>
        <v>0</v>
      </c>
      <c r="I41" s="265"/>
      <c r="J41" s="193" t="e">
        <f t="shared" si="1"/>
        <v>#DIV/0!</v>
      </c>
      <c r="K41" s="265">
        <v>0</v>
      </c>
      <c r="L41" s="247" t="e">
        <f t="shared" si="0"/>
        <v>#DIV/0!</v>
      </c>
      <c r="M41" s="269"/>
      <c r="N41" s="533"/>
      <c r="O41" s="534"/>
    </row>
    <row r="42" spans="1:15" s="115" customFormat="1" ht="20.100000000000001" customHeight="1" x14ac:dyDescent="0.3">
      <c r="A42" s="182">
        <v>26</v>
      </c>
      <c r="B42" s="521"/>
      <c r="C42" s="522"/>
      <c r="D42" s="523"/>
      <c r="E42" s="185"/>
      <c r="F42" s="186"/>
      <c r="G42" s="212"/>
      <c r="H42" s="245">
        <f>'1 ESTADÍSTICA MENSUAL'!M13</f>
        <v>0</v>
      </c>
      <c r="I42" s="265"/>
      <c r="J42" s="193" t="e">
        <f t="shared" ref="J42:J51" si="2">I42*100/H42</f>
        <v>#DIV/0!</v>
      </c>
      <c r="K42" s="265">
        <v>19</v>
      </c>
      <c r="L42" s="247" t="e">
        <f t="shared" si="0"/>
        <v>#DIV/0!</v>
      </c>
      <c r="M42" s="269"/>
      <c r="N42" s="533"/>
      <c r="O42" s="534"/>
    </row>
    <row r="43" spans="1:15" s="115" customFormat="1" ht="20.100000000000001" customHeight="1" x14ac:dyDescent="0.3">
      <c r="A43" s="182">
        <v>27</v>
      </c>
      <c r="B43" s="521"/>
      <c r="C43" s="522"/>
      <c r="D43" s="523"/>
      <c r="E43" s="185"/>
      <c r="F43" s="186"/>
      <c r="G43" s="212"/>
      <c r="H43" s="245">
        <f>'1 ESTADÍSTICA MENSUAL'!M13</f>
        <v>0</v>
      </c>
      <c r="I43" s="265"/>
      <c r="J43" s="193" t="e">
        <f t="shared" si="2"/>
        <v>#DIV/0!</v>
      </c>
      <c r="K43" s="265">
        <v>0</v>
      </c>
      <c r="L43" s="247" t="e">
        <f t="shared" si="0"/>
        <v>#DIV/0!</v>
      </c>
      <c r="M43" s="269"/>
      <c r="N43" s="533"/>
      <c r="O43" s="534"/>
    </row>
    <row r="44" spans="1:15" s="115" customFormat="1" ht="20.100000000000001" customHeight="1" x14ac:dyDescent="0.3">
      <c r="A44" s="182">
        <v>28</v>
      </c>
      <c r="B44" s="521"/>
      <c r="C44" s="522"/>
      <c r="D44" s="523"/>
      <c r="E44" s="185"/>
      <c r="F44" s="186"/>
      <c r="G44" s="212"/>
      <c r="H44" s="245">
        <f>'1 ESTADÍSTICA MENSUAL'!M13</f>
        <v>0</v>
      </c>
      <c r="I44" s="265"/>
      <c r="J44" s="193" t="e">
        <f t="shared" si="2"/>
        <v>#DIV/0!</v>
      </c>
      <c r="K44" s="265">
        <v>0</v>
      </c>
      <c r="L44" s="247" t="e">
        <f t="shared" si="0"/>
        <v>#DIV/0!</v>
      </c>
      <c r="M44" s="269"/>
      <c r="N44" s="533"/>
      <c r="O44" s="534"/>
    </row>
    <row r="45" spans="1:15" s="115" customFormat="1" ht="20.100000000000001" customHeight="1" x14ac:dyDescent="0.3">
      <c r="A45" s="182">
        <v>29</v>
      </c>
      <c r="B45" s="521"/>
      <c r="C45" s="522"/>
      <c r="D45" s="523"/>
      <c r="E45" s="185"/>
      <c r="F45" s="186"/>
      <c r="G45" s="212"/>
      <c r="H45" s="245">
        <f>'1 ESTADÍSTICA MENSUAL'!M13</f>
        <v>0</v>
      </c>
      <c r="I45" s="414"/>
      <c r="J45" s="193" t="e">
        <f t="shared" si="2"/>
        <v>#DIV/0!</v>
      </c>
      <c r="K45" s="267">
        <v>1</v>
      </c>
      <c r="L45" s="247" t="e">
        <f t="shared" si="0"/>
        <v>#DIV/0!</v>
      </c>
      <c r="M45" s="269"/>
      <c r="N45" s="533"/>
      <c r="O45" s="534"/>
    </row>
    <row r="46" spans="1:15" s="115" customFormat="1" ht="20.100000000000001" customHeight="1" x14ac:dyDescent="0.3">
      <c r="A46" s="182">
        <v>30</v>
      </c>
      <c r="B46" s="521"/>
      <c r="C46" s="522"/>
      <c r="D46" s="523"/>
      <c r="E46" s="185"/>
      <c r="F46" s="186"/>
      <c r="G46" s="212"/>
      <c r="H46" s="245">
        <f>'1 ESTADÍSTICA MENSUAL'!M13</f>
        <v>0</v>
      </c>
      <c r="I46" s="414"/>
      <c r="J46" s="193" t="e">
        <f t="shared" si="2"/>
        <v>#DIV/0!</v>
      </c>
      <c r="K46" s="267">
        <v>19</v>
      </c>
      <c r="L46" s="247" t="e">
        <f t="shared" si="0"/>
        <v>#DIV/0!</v>
      </c>
      <c r="M46" s="269"/>
      <c r="N46" s="533" t="s">
        <v>204</v>
      </c>
      <c r="O46" s="534"/>
    </row>
    <row r="47" spans="1:15" s="115" customFormat="1" ht="20.100000000000001" customHeight="1" x14ac:dyDescent="0.3">
      <c r="A47" s="182">
        <v>31</v>
      </c>
      <c r="B47" s="521"/>
      <c r="C47" s="522"/>
      <c r="D47" s="523"/>
      <c r="E47" s="185"/>
      <c r="F47" s="186"/>
      <c r="G47" s="212"/>
      <c r="H47" s="245">
        <f>'1 ESTADÍSTICA MENSUAL'!M13</f>
        <v>0</v>
      </c>
      <c r="I47" s="265"/>
      <c r="J47" s="193" t="e">
        <f t="shared" si="2"/>
        <v>#DIV/0!</v>
      </c>
      <c r="K47" s="266">
        <v>19</v>
      </c>
      <c r="L47" s="247" t="e">
        <f t="shared" si="0"/>
        <v>#DIV/0!</v>
      </c>
      <c r="M47" s="269"/>
      <c r="N47" s="399" t="s">
        <v>198</v>
      </c>
      <c r="O47" s="400" t="s">
        <v>206</v>
      </c>
    </row>
    <row r="48" spans="1:15" s="115" customFormat="1" ht="20.100000000000001" customHeight="1" x14ac:dyDescent="0.3">
      <c r="A48" s="182">
        <v>32</v>
      </c>
      <c r="B48" s="521"/>
      <c r="C48" s="522"/>
      <c r="D48" s="523"/>
      <c r="E48" s="185"/>
      <c r="F48" s="186"/>
      <c r="G48" s="212"/>
      <c r="H48" s="262">
        <f>'1 ESTADÍSTICA MENSUAL'!M13</f>
        <v>0</v>
      </c>
      <c r="I48" s="265"/>
      <c r="J48" s="314" t="e">
        <f t="shared" si="2"/>
        <v>#DIV/0!</v>
      </c>
      <c r="K48" s="267">
        <v>19</v>
      </c>
      <c r="L48" s="257" t="e">
        <f t="shared" si="0"/>
        <v>#DIV/0!</v>
      </c>
      <c r="M48" s="269"/>
      <c r="N48" s="533" t="s">
        <v>205</v>
      </c>
      <c r="O48" s="534"/>
    </row>
    <row r="49" spans="1:15" s="115" customFormat="1" ht="20.100000000000001" customHeight="1" x14ac:dyDescent="0.3">
      <c r="A49" s="182">
        <v>33</v>
      </c>
      <c r="B49" s="521"/>
      <c r="C49" s="522"/>
      <c r="D49" s="523"/>
      <c r="E49" s="185"/>
      <c r="F49" s="186"/>
      <c r="G49" s="212"/>
      <c r="H49" s="264">
        <f>'1 ESTADÍSTICA MENSUAL'!M13</f>
        <v>0</v>
      </c>
      <c r="I49" s="265"/>
      <c r="J49" s="194" t="e">
        <f t="shared" si="2"/>
        <v>#DIV/0!</v>
      </c>
      <c r="K49" s="265">
        <v>0</v>
      </c>
      <c r="L49" s="255" t="e">
        <f t="shared" ref="L49:L66" si="3">K49*100/H49</f>
        <v>#DIV/0!</v>
      </c>
      <c r="M49" s="269"/>
      <c r="N49" s="533"/>
      <c r="O49" s="534"/>
    </row>
    <row r="50" spans="1:15" s="115" customFormat="1" ht="20.100000000000001" customHeight="1" x14ac:dyDescent="0.3">
      <c r="A50" s="182">
        <v>34</v>
      </c>
      <c r="B50" s="521"/>
      <c r="C50" s="522"/>
      <c r="D50" s="523"/>
      <c r="E50" s="185"/>
      <c r="F50" s="186"/>
      <c r="G50" s="212"/>
      <c r="H50" s="245">
        <f>'1 ESTADÍSTICA MENSUAL'!M13</f>
        <v>0</v>
      </c>
      <c r="I50" s="265"/>
      <c r="J50" s="193" t="e">
        <f t="shared" si="2"/>
        <v>#DIV/0!</v>
      </c>
      <c r="K50" s="265">
        <v>0</v>
      </c>
      <c r="L50" s="247" t="e">
        <f t="shared" si="3"/>
        <v>#DIV/0!</v>
      </c>
      <c r="M50" s="269"/>
      <c r="N50" s="533"/>
      <c r="O50" s="534"/>
    </row>
    <row r="51" spans="1:15" s="115" customFormat="1" ht="20.100000000000001" customHeight="1" x14ac:dyDescent="0.3">
      <c r="A51" s="182">
        <v>35</v>
      </c>
      <c r="B51" s="521"/>
      <c r="C51" s="522"/>
      <c r="D51" s="523"/>
      <c r="E51" s="185"/>
      <c r="F51" s="186"/>
      <c r="G51" s="212"/>
      <c r="H51" s="245">
        <f>'1 ESTADÍSTICA MENSUAL'!M13</f>
        <v>0</v>
      </c>
      <c r="I51" s="265"/>
      <c r="J51" s="193" t="e">
        <f t="shared" si="2"/>
        <v>#DIV/0!</v>
      </c>
      <c r="K51" s="265">
        <v>0</v>
      </c>
      <c r="L51" s="247" t="e">
        <f t="shared" si="3"/>
        <v>#DIV/0!</v>
      </c>
      <c r="M51" s="269"/>
      <c r="N51" s="533"/>
      <c r="O51" s="534"/>
    </row>
    <row r="52" spans="1:15" s="115" customFormat="1" ht="20.100000000000001" customHeight="1" x14ac:dyDescent="0.3">
      <c r="A52" s="182">
        <v>36</v>
      </c>
      <c r="B52" s="521"/>
      <c r="C52" s="522"/>
      <c r="D52" s="523"/>
      <c r="E52" s="185"/>
      <c r="F52" s="186"/>
      <c r="G52" s="212"/>
      <c r="H52" s="245">
        <f>'1 ESTADÍSTICA MENSUAL'!M13</f>
        <v>0</v>
      </c>
      <c r="I52" s="265"/>
      <c r="J52" s="193" t="e">
        <f t="shared" si="1"/>
        <v>#DIV/0!</v>
      </c>
      <c r="K52" s="265">
        <v>0</v>
      </c>
      <c r="L52" s="247" t="e">
        <f t="shared" si="3"/>
        <v>#DIV/0!</v>
      </c>
      <c r="M52" s="269"/>
      <c r="N52" s="533"/>
      <c r="O52" s="534"/>
    </row>
    <row r="53" spans="1:15" s="115" customFormat="1" ht="20.100000000000001" customHeight="1" x14ac:dyDescent="0.3">
      <c r="A53" s="182">
        <v>37</v>
      </c>
      <c r="B53" s="521"/>
      <c r="C53" s="522"/>
      <c r="D53" s="523"/>
      <c r="E53" s="185"/>
      <c r="F53" s="186"/>
      <c r="G53" s="212"/>
      <c r="H53" s="245">
        <f>'1 ESTADÍSTICA MENSUAL'!M13</f>
        <v>0</v>
      </c>
      <c r="I53" s="265"/>
      <c r="J53" s="193" t="e">
        <f t="shared" si="1"/>
        <v>#DIV/0!</v>
      </c>
      <c r="K53" s="265">
        <v>1</v>
      </c>
      <c r="L53" s="247" t="e">
        <f t="shared" si="3"/>
        <v>#DIV/0!</v>
      </c>
      <c r="M53" s="269"/>
      <c r="N53" s="533"/>
      <c r="O53" s="534"/>
    </row>
    <row r="54" spans="1:15" s="115" customFormat="1" ht="20.100000000000001" customHeight="1" x14ac:dyDescent="0.3">
      <c r="A54" s="182">
        <v>38</v>
      </c>
      <c r="B54" s="521"/>
      <c r="C54" s="522"/>
      <c r="D54" s="523"/>
      <c r="E54" s="185"/>
      <c r="F54" s="186"/>
      <c r="G54" s="212"/>
      <c r="H54" s="245">
        <f>'1 ESTADÍSTICA MENSUAL'!M13</f>
        <v>0</v>
      </c>
      <c r="I54" s="265"/>
      <c r="J54" s="193" t="e">
        <f t="shared" si="1"/>
        <v>#DIV/0!</v>
      </c>
      <c r="K54" s="265">
        <v>0</v>
      </c>
      <c r="L54" s="247" t="e">
        <f t="shared" si="3"/>
        <v>#DIV/0!</v>
      </c>
      <c r="M54" s="269"/>
      <c r="N54" s="533"/>
      <c r="O54" s="534"/>
    </row>
    <row r="55" spans="1:15" s="115" customFormat="1" ht="20.100000000000001" customHeight="1" x14ac:dyDescent="0.3">
      <c r="A55" s="182">
        <v>39</v>
      </c>
      <c r="B55" s="521"/>
      <c r="C55" s="522"/>
      <c r="D55" s="523"/>
      <c r="E55" s="185"/>
      <c r="F55" s="186"/>
      <c r="G55" s="212"/>
      <c r="H55" s="245">
        <f>'1 ESTADÍSTICA MENSUAL'!M13</f>
        <v>0</v>
      </c>
      <c r="I55" s="265"/>
      <c r="J55" s="193" t="e">
        <f t="shared" si="1"/>
        <v>#DIV/0!</v>
      </c>
      <c r="K55" s="265">
        <v>1</v>
      </c>
      <c r="L55" s="247" t="e">
        <f t="shared" si="3"/>
        <v>#DIV/0!</v>
      </c>
      <c r="M55" s="269"/>
      <c r="N55" s="533"/>
      <c r="O55" s="534"/>
    </row>
    <row r="56" spans="1:15" s="115" customFormat="1" ht="20.100000000000001" customHeight="1" x14ac:dyDescent="0.3">
      <c r="A56" s="182">
        <v>40</v>
      </c>
      <c r="B56" s="521"/>
      <c r="C56" s="522"/>
      <c r="D56" s="523"/>
      <c r="E56" s="185"/>
      <c r="F56" s="186"/>
      <c r="G56" s="212"/>
      <c r="H56" s="245">
        <f>'1 ESTADÍSTICA MENSUAL'!M13</f>
        <v>0</v>
      </c>
      <c r="I56" s="265"/>
      <c r="J56" s="193" t="e">
        <f t="shared" si="1"/>
        <v>#DIV/0!</v>
      </c>
      <c r="K56" s="265">
        <v>19</v>
      </c>
      <c r="L56" s="247" t="e">
        <f t="shared" si="3"/>
        <v>#DIV/0!</v>
      </c>
      <c r="M56" s="269"/>
      <c r="N56" s="533"/>
      <c r="O56" s="534"/>
    </row>
    <row r="57" spans="1:15" s="115" customFormat="1" ht="20.100000000000001" customHeight="1" x14ac:dyDescent="0.3">
      <c r="A57" s="182">
        <v>41</v>
      </c>
      <c r="B57" s="521"/>
      <c r="C57" s="522"/>
      <c r="D57" s="523"/>
      <c r="E57" s="185"/>
      <c r="F57" s="186"/>
      <c r="G57" s="212"/>
      <c r="H57" s="245">
        <f>'1 ESTADÍSTICA MENSUAL'!M13</f>
        <v>0</v>
      </c>
      <c r="I57" s="265"/>
      <c r="J57" s="193" t="e">
        <f t="shared" si="1"/>
        <v>#DIV/0!</v>
      </c>
      <c r="K57" s="265">
        <v>0</v>
      </c>
      <c r="L57" s="247" t="e">
        <f t="shared" si="3"/>
        <v>#DIV/0!</v>
      </c>
      <c r="M57" s="269"/>
      <c r="N57" s="533"/>
      <c r="O57" s="534"/>
    </row>
    <row r="58" spans="1:15" s="115" customFormat="1" ht="20.100000000000001" customHeight="1" thickBot="1" x14ac:dyDescent="0.35">
      <c r="A58" s="182">
        <v>42</v>
      </c>
      <c r="B58" s="521"/>
      <c r="C58" s="522"/>
      <c r="D58" s="523"/>
      <c r="E58" s="185"/>
      <c r="F58" s="186"/>
      <c r="G58" s="210"/>
      <c r="H58" s="245">
        <f>'1 ESTADÍSTICA MENSUAL'!M13</f>
        <v>0</v>
      </c>
      <c r="I58" s="265"/>
      <c r="J58" s="193" t="e">
        <f t="shared" si="1"/>
        <v>#DIV/0!</v>
      </c>
      <c r="K58" s="265">
        <v>1</v>
      </c>
      <c r="L58" s="247" t="e">
        <f t="shared" si="3"/>
        <v>#DIV/0!</v>
      </c>
      <c r="M58" s="269"/>
      <c r="N58" s="533"/>
      <c r="O58" s="534"/>
    </row>
    <row r="59" spans="1:15" s="115" customFormat="1" ht="20.100000000000001" customHeight="1" x14ac:dyDescent="0.3">
      <c r="A59" s="182">
        <v>43</v>
      </c>
      <c r="B59" s="521"/>
      <c r="C59" s="522"/>
      <c r="D59" s="523"/>
      <c r="E59" s="185"/>
      <c r="F59" s="186"/>
      <c r="G59" s="212"/>
      <c r="H59" s="245">
        <f>'1 ESTADÍSTICA MENSUAL'!M13</f>
        <v>0</v>
      </c>
      <c r="I59" s="265"/>
      <c r="J59" s="193" t="e">
        <f t="shared" si="1"/>
        <v>#DIV/0!</v>
      </c>
      <c r="K59" s="265">
        <v>0</v>
      </c>
      <c r="L59" s="247" t="e">
        <f t="shared" si="3"/>
        <v>#DIV/0!</v>
      </c>
      <c r="M59" s="269"/>
      <c r="N59" s="533"/>
      <c r="O59" s="534"/>
    </row>
    <row r="60" spans="1:15" s="115" customFormat="1" ht="20.100000000000001" customHeight="1" x14ac:dyDescent="0.3">
      <c r="A60" s="182">
        <v>44</v>
      </c>
      <c r="B60" s="521"/>
      <c r="C60" s="522"/>
      <c r="D60" s="523"/>
      <c r="E60" s="185"/>
      <c r="F60" s="186"/>
      <c r="G60" s="212"/>
      <c r="H60" s="245">
        <f>'1 ESTADÍSTICA MENSUAL'!M13</f>
        <v>0</v>
      </c>
      <c r="I60" s="265"/>
      <c r="J60" s="193" t="e">
        <f t="shared" si="1"/>
        <v>#DIV/0!</v>
      </c>
      <c r="K60" s="265">
        <v>0</v>
      </c>
      <c r="L60" s="247" t="e">
        <f t="shared" si="3"/>
        <v>#DIV/0!</v>
      </c>
      <c r="M60" s="269"/>
      <c r="N60" s="533"/>
      <c r="O60" s="534"/>
    </row>
    <row r="61" spans="1:15" s="115" customFormat="1" ht="20.100000000000001" customHeight="1" thickBot="1" x14ac:dyDescent="0.35">
      <c r="A61" s="182">
        <v>45</v>
      </c>
      <c r="B61" s="521"/>
      <c r="C61" s="522"/>
      <c r="D61" s="523"/>
      <c r="E61" s="185"/>
      <c r="F61" s="186"/>
      <c r="G61" s="210"/>
      <c r="H61" s="245">
        <f>'1 ESTADÍSTICA MENSUAL'!M13</f>
        <v>0</v>
      </c>
      <c r="I61" s="265"/>
      <c r="J61" s="193" t="e">
        <f t="shared" si="1"/>
        <v>#DIV/0!</v>
      </c>
      <c r="K61" s="265">
        <v>0</v>
      </c>
      <c r="L61" s="247" t="e">
        <f t="shared" si="3"/>
        <v>#DIV/0!</v>
      </c>
      <c r="M61" s="269"/>
      <c r="N61" s="533"/>
      <c r="O61" s="534"/>
    </row>
    <row r="62" spans="1:15" s="115" customFormat="1" ht="20.100000000000001" customHeight="1" thickBot="1" x14ac:dyDescent="0.35">
      <c r="A62" s="182">
        <v>46</v>
      </c>
      <c r="B62" s="521"/>
      <c r="C62" s="522"/>
      <c r="D62" s="523"/>
      <c r="E62" s="185"/>
      <c r="F62" s="186"/>
      <c r="G62" s="210"/>
      <c r="H62" s="245">
        <f>'1 ESTADÍSTICA MENSUAL'!M13</f>
        <v>0</v>
      </c>
      <c r="I62" s="265"/>
      <c r="J62" s="193" t="e">
        <f t="shared" si="1"/>
        <v>#DIV/0!</v>
      </c>
      <c r="K62" s="265">
        <v>0</v>
      </c>
      <c r="L62" s="247" t="e">
        <f t="shared" si="3"/>
        <v>#DIV/0!</v>
      </c>
      <c r="M62" s="269"/>
      <c r="N62" s="533"/>
      <c r="O62" s="534"/>
    </row>
    <row r="63" spans="1:15" s="115" customFormat="1" ht="20.100000000000001" customHeight="1" thickBot="1" x14ac:dyDescent="0.35">
      <c r="A63" s="182">
        <v>47</v>
      </c>
      <c r="B63" s="524"/>
      <c r="C63" s="525"/>
      <c r="D63" s="526"/>
      <c r="E63" s="208"/>
      <c r="F63" s="186"/>
      <c r="G63" s="212"/>
      <c r="H63" s="245">
        <f>'1 ESTADÍSTICA MENSUAL'!M13</f>
        <v>0</v>
      </c>
      <c r="I63" s="265"/>
      <c r="J63" s="193" t="e">
        <f t="shared" si="1"/>
        <v>#DIV/0!</v>
      </c>
      <c r="K63" s="265">
        <v>0</v>
      </c>
      <c r="L63" s="247" t="e">
        <f t="shared" si="3"/>
        <v>#DIV/0!</v>
      </c>
      <c r="M63" s="269"/>
      <c r="N63" s="533"/>
      <c r="O63" s="534"/>
    </row>
    <row r="64" spans="1:15" s="115" customFormat="1" ht="20.100000000000001" customHeight="1" x14ac:dyDescent="0.3">
      <c r="A64" s="182">
        <v>48</v>
      </c>
      <c r="B64" s="527"/>
      <c r="C64" s="528"/>
      <c r="D64" s="529"/>
      <c r="E64" s="185"/>
      <c r="F64" s="186"/>
      <c r="G64" s="212"/>
      <c r="H64" s="245">
        <f>'1 ESTADÍSTICA MENSUAL'!M13</f>
        <v>0</v>
      </c>
      <c r="I64" s="265"/>
      <c r="J64" s="193" t="e">
        <f t="shared" si="1"/>
        <v>#DIV/0!</v>
      </c>
      <c r="K64" s="267">
        <v>0</v>
      </c>
      <c r="L64" s="247" t="e">
        <f t="shared" si="3"/>
        <v>#DIV/0!</v>
      </c>
      <c r="M64" s="269"/>
      <c r="N64" s="533"/>
      <c r="O64" s="534"/>
    </row>
    <row r="65" spans="1:15" s="115" customFormat="1" ht="20.100000000000001" customHeight="1" thickBot="1" x14ac:dyDescent="0.35">
      <c r="A65" s="182">
        <v>49</v>
      </c>
      <c r="B65" s="548"/>
      <c r="C65" s="549"/>
      <c r="D65" s="550"/>
      <c r="E65" s="190"/>
      <c r="F65" s="186"/>
      <c r="G65" s="210"/>
      <c r="H65" s="245">
        <f>'1 ESTADÍSTICA MENSUAL'!M13</f>
        <v>0</v>
      </c>
      <c r="I65" s="265"/>
      <c r="J65" s="193" t="e">
        <f>I65*100/H65</f>
        <v>#DIV/0!</v>
      </c>
      <c r="K65" s="267">
        <v>0</v>
      </c>
      <c r="L65" s="247" t="e">
        <f t="shared" si="3"/>
        <v>#DIV/0!</v>
      </c>
      <c r="M65" s="269"/>
      <c r="N65" s="533"/>
      <c r="O65" s="534"/>
    </row>
    <row r="66" spans="1:15" s="115" customFormat="1" ht="20.100000000000001" customHeight="1" thickBot="1" x14ac:dyDescent="0.35">
      <c r="A66" s="258">
        <v>50</v>
      </c>
      <c r="B66" s="521"/>
      <c r="C66" s="522"/>
      <c r="D66" s="523"/>
      <c r="E66" s="185"/>
      <c r="F66" s="186"/>
      <c r="G66" s="210"/>
      <c r="H66" s="246">
        <f>'1 ESTADÍSTICA MENSUAL'!M13</f>
        <v>0</v>
      </c>
      <c r="I66" s="268"/>
      <c r="J66" s="211" t="e">
        <f t="shared" si="1"/>
        <v>#DIV/0!</v>
      </c>
      <c r="K66" s="268">
        <v>19</v>
      </c>
      <c r="L66" s="248" t="e">
        <f t="shared" si="3"/>
        <v>#DIV/0!</v>
      </c>
      <c r="M66" s="270"/>
      <c r="N66" s="533"/>
      <c r="O66" s="534"/>
    </row>
    <row r="67" spans="1:15" ht="24" customHeight="1" x14ac:dyDescent="0.3">
      <c r="A67" s="21"/>
      <c r="B67" s="214"/>
      <c r="C67" s="214"/>
      <c r="D67" s="214"/>
      <c r="E67" s="177"/>
      <c r="F67" s="178"/>
      <c r="G67" s="178"/>
      <c r="H67" s="179"/>
      <c r="I67" s="179"/>
      <c r="J67" s="179"/>
      <c r="K67" s="179"/>
      <c r="L67" s="179"/>
      <c r="M67" s="179"/>
      <c r="N67" s="179"/>
      <c r="O67" s="180"/>
    </row>
    <row r="68" spans="1:15" ht="24" customHeight="1" x14ac:dyDescent="0.3">
      <c r="A68" s="21"/>
      <c r="B68" s="214"/>
      <c r="C68" s="214"/>
      <c r="D68" s="214"/>
      <c r="E68" s="177"/>
      <c r="F68" s="178"/>
      <c r="G68" s="178"/>
      <c r="H68" s="179"/>
      <c r="I68" s="179"/>
      <c r="J68" s="179"/>
      <c r="K68" s="179"/>
      <c r="L68" s="179"/>
      <c r="M68" s="179"/>
      <c r="N68" s="179"/>
      <c r="O68" s="180"/>
    </row>
    <row r="69" spans="1:15" ht="24" customHeight="1" x14ac:dyDescent="0.3"/>
    <row r="70" spans="1:15" s="17" customFormat="1" ht="19.95" customHeight="1" x14ac:dyDescent="0.25">
      <c r="A70" s="504" t="str">
        <f>'1 ESTADÍSTICA MENSUAL'!A59:C59</f>
        <v>Nombre Director(a):</v>
      </c>
      <c r="B70" s="504"/>
      <c r="C70" s="504"/>
      <c r="D70" s="436">
        <f>'1 ESTADÍSTICA MENSUAL'!D59</f>
        <v>0</v>
      </c>
      <c r="E70" s="436"/>
      <c r="F70" s="436"/>
      <c r="G70" s="243"/>
      <c r="H70" s="259"/>
      <c r="I70" s="428" t="str">
        <f>'1 ESTADÍSTICA MENSUAL'!J59</f>
        <v>CARRIZAL,</v>
      </c>
      <c r="J70" s="428"/>
      <c r="K70" s="436">
        <f>'1 ESTADÍSTICA MENSUAL'!L59</f>
        <v>0</v>
      </c>
      <c r="L70" s="436"/>
      <c r="M70" s="436"/>
      <c r="N70" s="21"/>
    </row>
    <row r="71" spans="1:15" s="17" customFormat="1" ht="19.95" customHeight="1" x14ac:dyDescent="0.25">
      <c r="A71" s="504" t="str">
        <f>'1 ESTADÍSTICA MENSUAL'!A60:C60</f>
        <v>Cédula de Identidad Nº:</v>
      </c>
      <c r="B71" s="504"/>
      <c r="C71" s="504"/>
      <c r="D71" s="436">
        <f>'1 ESTADÍSTICA MENSUAL'!D60</f>
        <v>0</v>
      </c>
      <c r="E71" s="436"/>
      <c r="F71" s="436"/>
      <c r="G71" s="243"/>
      <c r="H71" s="259"/>
      <c r="I71" s="428" t="str">
        <f>'1 ESTADÍSTICA MENSUAL'!J60</f>
        <v>GUAICAIPURO,</v>
      </c>
      <c r="J71" s="428"/>
      <c r="K71" s="436">
        <f>'1 ESTADÍSTICA MENSUAL'!L60</f>
        <v>0</v>
      </c>
      <c r="L71" s="436"/>
      <c r="M71" s="436"/>
    </row>
    <row r="72" spans="1:15" s="17" customFormat="1" ht="19.95" customHeight="1" x14ac:dyDescent="0.25">
      <c r="A72" s="504" t="str">
        <f>'1 ESTADÍSTICA MENSUAL'!A61:C61</f>
        <v>Teléfono(s):</v>
      </c>
      <c r="B72" s="504"/>
      <c r="C72" s="504"/>
      <c r="D72" s="436">
        <f>'1 ESTADÍSTICA MENSUAL'!D61</f>
        <v>0</v>
      </c>
      <c r="E72" s="436"/>
      <c r="F72" s="436"/>
      <c r="G72" s="243"/>
      <c r="H72" s="259"/>
      <c r="I72" s="428" t="str">
        <f>'1 ESTADÍSTICA MENSUAL'!J61</f>
        <v>LOS SALIAS,</v>
      </c>
      <c r="J72" s="428"/>
      <c r="K72" s="436">
        <f>'1 ESTADÍSTICA MENSUAL'!L61</f>
        <v>0</v>
      </c>
      <c r="L72" s="436"/>
      <c r="M72" s="436"/>
    </row>
    <row r="73" spans="1:15" s="17" customFormat="1" ht="19.95" customHeight="1" x14ac:dyDescent="0.25">
      <c r="A73" s="504" t="str">
        <f>'1 ESTADÍSTICA MENSUAL'!A62:C62</f>
        <v>Correo Electrónico:</v>
      </c>
      <c r="B73" s="504"/>
      <c r="C73" s="504"/>
      <c r="D73" s="436">
        <f>'1 ESTADÍSTICA MENSUAL'!D62</f>
        <v>0</v>
      </c>
      <c r="E73" s="436"/>
      <c r="F73" s="436"/>
      <c r="G73" s="243"/>
      <c r="H73" s="259"/>
      <c r="I73" s="259"/>
      <c r="J73" s="259"/>
      <c r="K73" s="80"/>
    </row>
  </sheetData>
  <sheetProtection algorithmName="SHA-512" hashValue="MsAac8vqM6f6Wh2Lpkbd9sq8Dz9SqLU6mBLdzdiNgNuUWplX10Gm3i0dMSRkd4oLRNHZUpB7meDQDRR3Om8Zgw==" saltValue="p7xg7qkYHLqTIqyqwOBm6g==" spinCount="100000" sheet="1" formatCells="0" formatColumns="0" formatRows="0"/>
  <mergeCells count="134">
    <mergeCell ref="I70:J70"/>
    <mergeCell ref="A71:C71"/>
    <mergeCell ref="D71:F71"/>
    <mergeCell ref="A72:C72"/>
    <mergeCell ref="D72:F72"/>
    <mergeCell ref="K70:M70"/>
    <mergeCell ref="B60:D60"/>
    <mergeCell ref="B55:D55"/>
    <mergeCell ref="B56:D56"/>
    <mergeCell ref="B57:D57"/>
    <mergeCell ref="B58:D58"/>
    <mergeCell ref="B59:D59"/>
    <mergeCell ref="I71:J71"/>
    <mergeCell ref="K71:M71"/>
    <mergeCell ref="I72:J72"/>
    <mergeCell ref="K72:M72"/>
    <mergeCell ref="A73:C73"/>
    <mergeCell ref="D73:F73"/>
    <mergeCell ref="B61:D61"/>
    <mergeCell ref="B62:D62"/>
    <mergeCell ref="B63:D63"/>
    <mergeCell ref="B64:D64"/>
    <mergeCell ref="B66:D66"/>
    <mergeCell ref="A70:C70"/>
    <mergeCell ref="D70:F70"/>
    <mergeCell ref="B65:D65"/>
    <mergeCell ref="B40:D40"/>
    <mergeCell ref="B41:D41"/>
    <mergeCell ref="B52:D52"/>
    <mergeCell ref="B53:D53"/>
    <mergeCell ref="B54:D54"/>
    <mergeCell ref="B42:D42"/>
    <mergeCell ref="B43:D43"/>
    <mergeCell ref="B44:D44"/>
    <mergeCell ref="B45:D45"/>
    <mergeCell ref="B49:D49"/>
    <mergeCell ref="B50:D50"/>
    <mergeCell ref="B46:D46"/>
    <mergeCell ref="B48:D48"/>
    <mergeCell ref="B47:D47"/>
    <mergeCell ref="B51:D51"/>
    <mergeCell ref="B39:D39"/>
    <mergeCell ref="B28:D28"/>
    <mergeCell ref="B29:D29"/>
    <mergeCell ref="B30:D30"/>
    <mergeCell ref="B31:D31"/>
    <mergeCell ref="B34:D34"/>
    <mergeCell ref="B35:D35"/>
    <mergeCell ref="B36:D36"/>
    <mergeCell ref="B37:D37"/>
    <mergeCell ref="B38:D38"/>
    <mergeCell ref="B33:D33"/>
    <mergeCell ref="B27:D27"/>
    <mergeCell ref="B17:D17"/>
    <mergeCell ref="B18:D18"/>
    <mergeCell ref="B19:D19"/>
    <mergeCell ref="B20:D20"/>
    <mergeCell ref="B21:D21"/>
    <mergeCell ref="B22:D22"/>
    <mergeCell ref="B23:D23"/>
    <mergeCell ref="B24:D24"/>
    <mergeCell ref="A12:B12"/>
    <mergeCell ref="C12:D12"/>
    <mergeCell ref="J12:K12"/>
    <mergeCell ref="L12:M12"/>
    <mergeCell ref="J13:K13"/>
    <mergeCell ref="L13:M13"/>
    <mergeCell ref="A15:A16"/>
    <mergeCell ref="B15:D16"/>
    <mergeCell ref="E15:E16"/>
    <mergeCell ref="F15:F16"/>
    <mergeCell ref="G15:G16"/>
    <mergeCell ref="H15:J15"/>
    <mergeCell ref="K15:M15"/>
    <mergeCell ref="A8:O8"/>
    <mergeCell ref="A1:O1"/>
    <mergeCell ref="A2:O2"/>
    <mergeCell ref="A3:O3"/>
    <mergeCell ref="A4:O4"/>
    <mergeCell ref="A5:O5"/>
    <mergeCell ref="A11:B11"/>
    <mergeCell ref="C11:F11"/>
    <mergeCell ref="J11:K11"/>
    <mergeCell ref="L11:M11"/>
    <mergeCell ref="N21:O21"/>
    <mergeCell ref="N22:O22"/>
    <mergeCell ref="N23:O23"/>
    <mergeCell ref="N24:O24"/>
    <mergeCell ref="N25:O25"/>
    <mergeCell ref="N15:O16"/>
    <mergeCell ref="N17:O17"/>
    <mergeCell ref="N18:O18"/>
    <mergeCell ref="N19:O19"/>
    <mergeCell ref="N20:O20"/>
    <mergeCell ref="N31:O31"/>
    <mergeCell ref="N32:O32"/>
    <mergeCell ref="N33:O33"/>
    <mergeCell ref="N34:O34"/>
    <mergeCell ref="N35:O35"/>
    <mergeCell ref="N26:O26"/>
    <mergeCell ref="N27:O27"/>
    <mergeCell ref="N28:O28"/>
    <mergeCell ref="N29:O29"/>
    <mergeCell ref="N30:O30"/>
    <mergeCell ref="N41:O41"/>
    <mergeCell ref="N42:O42"/>
    <mergeCell ref="N43:O43"/>
    <mergeCell ref="N44:O44"/>
    <mergeCell ref="N45:O45"/>
    <mergeCell ref="N36:O36"/>
    <mergeCell ref="N37:O37"/>
    <mergeCell ref="N38:O38"/>
    <mergeCell ref="N39:O39"/>
    <mergeCell ref="N40:O40"/>
    <mergeCell ref="N51:O51"/>
    <mergeCell ref="N52:O52"/>
    <mergeCell ref="N53:O53"/>
    <mergeCell ref="N54:O54"/>
    <mergeCell ref="N55:O55"/>
    <mergeCell ref="N46:O46"/>
    <mergeCell ref="N48:O48"/>
    <mergeCell ref="N49:O49"/>
    <mergeCell ref="N50:O50"/>
    <mergeCell ref="N66:O66"/>
    <mergeCell ref="N61:O61"/>
    <mergeCell ref="N62:O62"/>
    <mergeCell ref="N63:O63"/>
    <mergeCell ref="N64:O64"/>
    <mergeCell ref="N65:O65"/>
    <mergeCell ref="N56:O56"/>
    <mergeCell ref="N57:O57"/>
    <mergeCell ref="N58:O58"/>
    <mergeCell ref="N59:O59"/>
    <mergeCell ref="N60:O60"/>
  </mergeCells>
  <pageMargins left="0.59055118110236227" right="0.59055118110236227" top="0.39370078740157483" bottom="0.39370078740157483" header="0.31496062992125984" footer="0.31496062992125984"/>
  <pageSetup scale="30" orientation="portrait" r:id="rId1"/>
  <ignoredErrors>
    <ignoredError sqref="L17:L66 J17:J66" evalError="1"/>
  </ignoredErrors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LISTA!$A$72:$A$75</xm:f>
          </x14:formula1>
          <xm:sqref>F17:F66</xm:sqref>
        </x14:dataValidation>
        <x14:dataValidation type="list" allowBlank="1" showInputMessage="1" showErrorMessage="1">
          <x14:formula1>
            <xm:f>LISTA!$A$101:$A$102</xm:f>
          </x14:formula1>
          <xm:sqref>M17:M66</xm:sqref>
        </x14:dataValidation>
        <x14:dataValidation type="list" allowBlank="1" showInputMessage="1" showErrorMessage="1">
          <x14:formula1>
            <xm:f>LISTA!$A$96:$A$99</xm:f>
          </x14:formula1>
          <xm:sqref>G17:G66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</sheetPr>
  <dimension ref="A1:O73"/>
  <sheetViews>
    <sheetView showGridLines="0" view="pageBreakPreview" topLeftCell="A3" zoomScale="70" zoomScaleNormal="80" zoomScaleSheetLayoutView="70" workbookViewId="0">
      <selection activeCell="N19" sqref="N19:O66"/>
    </sheetView>
  </sheetViews>
  <sheetFormatPr baseColWidth="10" defaultColWidth="11.44140625" defaultRowHeight="13.2" x14ac:dyDescent="0.3"/>
  <cols>
    <col min="1" max="1" width="6.88671875" style="49" customWidth="1"/>
    <col min="2" max="4" width="15.6640625" style="215" customWidth="1"/>
    <col min="5" max="7" width="18.6640625" style="50" customWidth="1"/>
    <col min="8" max="14" width="13.6640625" style="49" customWidth="1"/>
    <col min="15" max="15" width="62.6640625" style="49" customWidth="1"/>
    <col min="16" max="16384" width="11.44140625" style="49"/>
  </cols>
  <sheetData>
    <row r="1" spans="1:15" x14ac:dyDescent="0.3">
      <c r="A1" s="503" t="s">
        <v>111</v>
      </c>
      <c r="B1" s="444"/>
      <c r="C1" s="444"/>
      <c r="D1" s="444"/>
      <c r="E1" s="444"/>
      <c r="F1" s="444"/>
      <c r="G1" s="444"/>
      <c r="H1" s="444"/>
      <c r="I1" s="444"/>
      <c r="J1" s="444"/>
      <c r="K1" s="444"/>
      <c r="L1" s="444"/>
      <c r="M1" s="444"/>
      <c r="N1" s="444"/>
      <c r="O1" s="444"/>
    </row>
    <row r="2" spans="1:15" x14ac:dyDescent="0.3">
      <c r="A2" s="444" t="s">
        <v>112</v>
      </c>
      <c r="B2" s="444"/>
      <c r="C2" s="444"/>
      <c r="D2" s="444"/>
      <c r="E2" s="444"/>
      <c r="F2" s="444"/>
      <c r="G2" s="444"/>
      <c r="H2" s="444"/>
      <c r="I2" s="444"/>
      <c r="J2" s="444"/>
      <c r="K2" s="444"/>
      <c r="L2" s="444"/>
      <c r="M2" s="444"/>
      <c r="N2" s="444"/>
      <c r="O2" s="444"/>
    </row>
    <row r="3" spans="1:15" x14ac:dyDescent="0.3">
      <c r="A3" s="444" t="s">
        <v>113</v>
      </c>
      <c r="B3" s="444"/>
      <c r="C3" s="444"/>
      <c r="D3" s="444"/>
      <c r="E3" s="444"/>
      <c r="F3" s="444"/>
      <c r="G3" s="444"/>
      <c r="H3" s="444"/>
      <c r="I3" s="444"/>
      <c r="J3" s="444"/>
      <c r="K3" s="444"/>
      <c r="L3" s="444"/>
      <c r="M3" s="444"/>
      <c r="N3" s="444"/>
      <c r="O3" s="444"/>
    </row>
    <row r="4" spans="1:15" x14ac:dyDescent="0.3">
      <c r="A4" s="444" t="s">
        <v>114</v>
      </c>
      <c r="B4" s="444"/>
      <c r="C4" s="444"/>
      <c r="D4" s="444"/>
      <c r="E4" s="444"/>
      <c r="F4" s="444"/>
      <c r="G4" s="444"/>
      <c r="H4" s="444"/>
      <c r="I4" s="444"/>
      <c r="J4" s="444"/>
      <c r="K4" s="444"/>
      <c r="L4" s="444"/>
      <c r="M4" s="444"/>
      <c r="N4" s="444"/>
      <c r="O4" s="444"/>
    </row>
    <row r="5" spans="1:15" x14ac:dyDescent="0.3">
      <c r="A5" s="444" t="s">
        <v>115</v>
      </c>
      <c r="B5" s="444"/>
      <c r="C5" s="444"/>
      <c r="D5" s="444"/>
      <c r="E5" s="444"/>
      <c r="F5" s="444"/>
      <c r="G5" s="444"/>
      <c r="H5" s="444"/>
      <c r="I5" s="444"/>
      <c r="J5" s="444"/>
      <c r="K5" s="444"/>
      <c r="L5" s="444"/>
      <c r="M5" s="444"/>
      <c r="N5" s="444"/>
      <c r="O5" s="444"/>
    </row>
    <row r="8" spans="1:15" x14ac:dyDescent="0.3">
      <c r="A8" s="515" t="s">
        <v>178</v>
      </c>
      <c r="B8" s="516"/>
      <c r="C8" s="516"/>
      <c r="D8" s="516"/>
      <c r="E8" s="516"/>
      <c r="F8" s="516"/>
      <c r="G8" s="516"/>
      <c r="H8" s="516"/>
      <c r="I8" s="516"/>
      <c r="J8" s="516"/>
      <c r="K8" s="516"/>
      <c r="L8" s="516"/>
      <c r="M8" s="516"/>
      <c r="N8" s="516"/>
      <c r="O8" s="517"/>
    </row>
    <row r="9" spans="1:15" x14ac:dyDescent="0.3">
      <c r="A9" s="184"/>
      <c r="B9" s="213"/>
      <c r="C9" s="213"/>
      <c r="D9" s="213"/>
      <c r="E9" s="184"/>
      <c r="F9" s="184"/>
      <c r="G9" s="184"/>
      <c r="H9" s="184"/>
      <c r="I9" s="184"/>
      <c r="J9" s="184"/>
      <c r="K9" s="184"/>
      <c r="L9" s="184"/>
      <c r="M9" s="184"/>
      <c r="N9" s="184"/>
      <c r="O9" s="184"/>
    </row>
    <row r="10" spans="1:15" x14ac:dyDescent="0.3">
      <c r="A10" s="184"/>
      <c r="B10" s="213"/>
      <c r="C10" s="213"/>
      <c r="D10" s="213"/>
      <c r="E10" s="184"/>
      <c r="F10" s="184"/>
      <c r="G10" s="184"/>
      <c r="H10" s="184"/>
      <c r="I10" s="184"/>
      <c r="J10" s="184"/>
      <c r="K10" s="184"/>
      <c r="L10" s="184"/>
      <c r="M10" s="184"/>
      <c r="N10" s="184"/>
      <c r="O10" s="184"/>
    </row>
    <row r="11" spans="1:15" ht="24.9" customHeight="1" x14ac:dyDescent="0.3">
      <c r="A11" s="457" t="s">
        <v>14</v>
      </c>
      <c r="B11" s="457"/>
      <c r="C11" s="519">
        <f>'1 ESTADÍSTICA MENSUAL'!C11:G11</f>
        <v>0</v>
      </c>
      <c r="D11" s="519"/>
      <c r="E11" s="519"/>
      <c r="F11" s="519"/>
      <c r="J11" s="457" t="s">
        <v>39</v>
      </c>
      <c r="K11" s="457"/>
      <c r="L11" s="518">
        <f>'1 ESTADÍSTICA MENSUAL'!M11</f>
        <v>0</v>
      </c>
      <c r="M11" s="518"/>
      <c r="N11" s="298"/>
    </row>
    <row r="12" spans="1:15" ht="24.9" customHeight="1" x14ac:dyDescent="0.3">
      <c r="A12" s="457" t="s">
        <v>15</v>
      </c>
      <c r="B12" s="457"/>
      <c r="C12" s="518">
        <f>'1 ESTADÍSTICA MENSUAL'!C12:D12</f>
        <v>0</v>
      </c>
      <c r="D12" s="518"/>
      <c r="E12" s="50" t="s">
        <v>131</v>
      </c>
      <c r="F12" s="422">
        <f>'1 ESTADÍSTICA MENSUAL'!F12:G12</f>
        <v>0</v>
      </c>
      <c r="J12" s="530" t="s">
        <v>16</v>
      </c>
      <c r="K12" s="530"/>
      <c r="L12" s="518">
        <f>'1 ESTADÍSTICA MENSUAL'!M12</f>
        <v>0</v>
      </c>
      <c r="M12" s="518"/>
      <c r="N12" s="298"/>
    </row>
    <row r="13" spans="1:15" ht="25.2" customHeight="1" x14ac:dyDescent="0.3">
      <c r="A13" s="184"/>
      <c r="B13" s="213"/>
      <c r="C13" s="213"/>
      <c r="D13" s="213"/>
      <c r="J13" s="457" t="s">
        <v>40</v>
      </c>
      <c r="K13" s="457"/>
      <c r="L13" s="518">
        <f>'1 ESTADÍSTICA MENSUAL'!M13</f>
        <v>0</v>
      </c>
      <c r="M13" s="518"/>
      <c r="N13" s="298"/>
    </row>
    <row r="14" spans="1:15" ht="25.2" customHeight="1" thickBot="1" x14ac:dyDescent="0.35">
      <c r="A14" s="184"/>
      <c r="B14" s="213"/>
      <c r="C14" s="213"/>
      <c r="D14" s="213"/>
      <c r="G14" s="184"/>
      <c r="H14" s="184"/>
      <c r="I14" s="184"/>
      <c r="J14" s="184"/>
      <c r="K14" s="184"/>
      <c r="L14" s="184"/>
      <c r="M14" s="184"/>
      <c r="N14" s="184"/>
      <c r="O14" s="184"/>
    </row>
    <row r="15" spans="1:15" s="116" customFormat="1" ht="31.2" customHeight="1" thickBot="1" x14ac:dyDescent="0.35">
      <c r="A15" s="508" t="s">
        <v>101</v>
      </c>
      <c r="B15" s="509" t="s">
        <v>158</v>
      </c>
      <c r="C15" s="510"/>
      <c r="D15" s="510"/>
      <c r="E15" s="505" t="s">
        <v>102</v>
      </c>
      <c r="F15" s="505" t="s">
        <v>103</v>
      </c>
      <c r="G15" s="505" t="s">
        <v>169</v>
      </c>
      <c r="H15" s="543" t="s">
        <v>105</v>
      </c>
      <c r="I15" s="544"/>
      <c r="J15" s="545"/>
      <c r="K15" s="546" t="s">
        <v>173</v>
      </c>
      <c r="L15" s="547"/>
      <c r="M15" s="506"/>
      <c r="N15" s="535" t="s">
        <v>176</v>
      </c>
      <c r="O15" s="536"/>
    </row>
    <row r="16" spans="1:15" s="116" customFormat="1" ht="30.75" customHeight="1" thickBot="1" x14ac:dyDescent="0.35">
      <c r="A16" s="508"/>
      <c r="B16" s="512"/>
      <c r="C16" s="513"/>
      <c r="D16" s="513"/>
      <c r="E16" s="505"/>
      <c r="F16" s="505"/>
      <c r="G16" s="505"/>
      <c r="H16" s="249" t="s">
        <v>167</v>
      </c>
      <c r="I16" s="250" t="s">
        <v>168</v>
      </c>
      <c r="J16" s="251" t="s">
        <v>108</v>
      </c>
      <c r="K16" s="253" t="s">
        <v>174</v>
      </c>
      <c r="L16" s="254" t="s">
        <v>108</v>
      </c>
      <c r="M16" s="252" t="s">
        <v>175</v>
      </c>
      <c r="N16" s="537"/>
      <c r="O16" s="538"/>
    </row>
    <row r="17" spans="1:15" s="115" customFormat="1" ht="20.100000000000001" customHeight="1" thickBot="1" x14ac:dyDescent="0.35">
      <c r="A17" s="142">
        <v>1</v>
      </c>
      <c r="B17" s="521"/>
      <c r="C17" s="522"/>
      <c r="D17" s="523"/>
      <c r="E17" s="185"/>
      <c r="F17" s="186"/>
      <c r="G17" s="212"/>
      <c r="H17" s="311">
        <f>'1 ESTADÍSTICA MENSUAL'!M13</f>
        <v>0</v>
      </c>
      <c r="I17" s="312"/>
      <c r="J17" s="313" t="e">
        <f>I17*100/H17</f>
        <v>#DIV/0!</v>
      </c>
      <c r="K17" s="265"/>
      <c r="L17" s="247" t="e">
        <f t="shared" ref="L17:L66" si="0">K17*100/H17</f>
        <v>#DIV/0!</v>
      </c>
      <c r="M17" s="269"/>
      <c r="N17" s="533"/>
      <c r="O17" s="534"/>
    </row>
    <row r="18" spans="1:15" s="115" customFormat="1" ht="20.100000000000001" customHeight="1" thickBot="1" x14ac:dyDescent="0.35">
      <c r="A18" s="142">
        <v>2</v>
      </c>
      <c r="B18" s="521"/>
      <c r="C18" s="522"/>
      <c r="D18" s="523"/>
      <c r="E18" s="185"/>
      <c r="F18" s="186"/>
      <c r="G18" s="210"/>
      <c r="H18" s="245">
        <f>'1 ESTADÍSTICA MENSUAL'!M13</f>
        <v>0</v>
      </c>
      <c r="I18" s="312"/>
      <c r="J18" s="193" t="e">
        <f t="shared" ref="J18:J66" si="1">I18*100/H18</f>
        <v>#DIV/0!</v>
      </c>
      <c r="K18" s="265"/>
      <c r="L18" s="247" t="e">
        <f t="shared" si="0"/>
        <v>#DIV/0!</v>
      </c>
      <c r="M18" s="269"/>
      <c r="N18" s="541"/>
      <c r="O18" s="542"/>
    </row>
    <row r="19" spans="1:15" s="115" customFormat="1" ht="20.100000000000001" customHeight="1" thickBot="1" x14ac:dyDescent="0.35">
      <c r="A19" s="142">
        <v>3</v>
      </c>
      <c r="B19" s="521"/>
      <c r="C19" s="522"/>
      <c r="D19" s="523"/>
      <c r="E19" s="185"/>
      <c r="F19" s="186"/>
      <c r="G19" s="210"/>
      <c r="H19" s="245">
        <f>'1 ESTADÍSTICA MENSUAL'!M13</f>
        <v>0</v>
      </c>
      <c r="I19" s="265"/>
      <c r="J19" s="193" t="e">
        <f t="shared" si="1"/>
        <v>#DIV/0!</v>
      </c>
      <c r="K19" s="267"/>
      <c r="L19" s="247" t="e">
        <f t="shared" si="0"/>
        <v>#DIV/0!</v>
      </c>
      <c r="M19" s="269"/>
      <c r="N19" s="533"/>
      <c r="O19" s="534"/>
    </row>
    <row r="20" spans="1:15" s="115" customFormat="1" ht="20.100000000000001" customHeight="1" x14ac:dyDescent="0.3">
      <c r="A20" s="142">
        <v>4</v>
      </c>
      <c r="B20" s="521"/>
      <c r="C20" s="522"/>
      <c r="D20" s="523"/>
      <c r="E20" s="185"/>
      <c r="F20" s="186"/>
      <c r="G20" s="187"/>
      <c r="H20" s="245">
        <f>'1 ESTADÍSTICA MENSUAL'!M13</f>
        <v>0</v>
      </c>
      <c r="I20" s="265"/>
      <c r="J20" s="193" t="e">
        <f t="shared" si="1"/>
        <v>#DIV/0!</v>
      </c>
      <c r="K20" s="265"/>
      <c r="L20" s="247" t="e">
        <f t="shared" si="0"/>
        <v>#DIV/0!</v>
      </c>
      <c r="M20" s="269"/>
      <c r="N20" s="533"/>
      <c r="O20" s="534"/>
    </row>
    <row r="21" spans="1:15" s="115" customFormat="1" ht="20.100000000000001" customHeight="1" x14ac:dyDescent="0.3">
      <c r="A21" s="142">
        <v>5</v>
      </c>
      <c r="B21" s="521"/>
      <c r="C21" s="522"/>
      <c r="D21" s="523"/>
      <c r="E21" s="185"/>
      <c r="F21" s="186"/>
      <c r="G21" s="187"/>
      <c r="H21" s="245">
        <f>'1 ESTADÍSTICA MENSUAL'!M13</f>
        <v>0</v>
      </c>
      <c r="I21" s="265"/>
      <c r="J21" s="193" t="e">
        <f t="shared" si="1"/>
        <v>#DIV/0!</v>
      </c>
      <c r="K21" s="265"/>
      <c r="L21" s="247" t="e">
        <f t="shared" si="0"/>
        <v>#DIV/0!</v>
      </c>
      <c r="M21" s="269"/>
      <c r="N21" s="533"/>
      <c r="O21" s="534"/>
    </row>
    <row r="22" spans="1:15" s="115" customFormat="1" ht="20.100000000000001" customHeight="1" x14ac:dyDescent="0.3">
      <c r="A22" s="142">
        <v>6</v>
      </c>
      <c r="B22" s="521"/>
      <c r="C22" s="522"/>
      <c r="D22" s="523"/>
      <c r="E22" s="185"/>
      <c r="F22" s="186"/>
      <c r="G22" s="187"/>
      <c r="H22" s="245">
        <f>'1 ESTADÍSTICA MENSUAL'!M13</f>
        <v>0</v>
      </c>
      <c r="I22" s="265"/>
      <c r="J22" s="193" t="e">
        <f t="shared" si="1"/>
        <v>#DIV/0!</v>
      </c>
      <c r="K22" s="265"/>
      <c r="L22" s="247" t="e">
        <f t="shared" si="0"/>
        <v>#DIV/0!</v>
      </c>
      <c r="M22" s="269"/>
      <c r="N22" s="533"/>
      <c r="O22" s="534"/>
    </row>
    <row r="23" spans="1:15" s="115" customFormat="1" ht="20.100000000000001" customHeight="1" x14ac:dyDescent="0.3">
      <c r="A23" s="142">
        <v>7</v>
      </c>
      <c r="B23" s="521"/>
      <c r="C23" s="522"/>
      <c r="D23" s="523"/>
      <c r="E23" s="185"/>
      <c r="F23" s="186"/>
      <c r="G23" s="187"/>
      <c r="H23" s="245">
        <f>'1 ESTADÍSTICA MENSUAL'!M13</f>
        <v>0</v>
      </c>
      <c r="I23" s="265"/>
      <c r="J23" s="193" t="e">
        <f t="shared" si="1"/>
        <v>#DIV/0!</v>
      </c>
      <c r="K23" s="265"/>
      <c r="L23" s="247" t="e">
        <f t="shared" si="0"/>
        <v>#DIV/0!</v>
      </c>
      <c r="M23" s="269"/>
      <c r="N23" s="533"/>
      <c r="O23" s="534"/>
    </row>
    <row r="24" spans="1:15" s="115" customFormat="1" ht="20.100000000000001" customHeight="1" x14ac:dyDescent="0.3">
      <c r="A24" s="142">
        <v>8</v>
      </c>
      <c r="B24" s="521"/>
      <c r="C24" s="522"/>
      <c r="D24" s="523"/>
      <c r="E24" s="185"/>
      <c r="F24" s="186"/>
      <c r="G24" s="187"/>
      <c r="H24" s="245">
        <f>'1 ESTADÍSTICA MENSUAL'!M13</f>
        <v>0</v>
      </c>
      <c r="I24" s="265"/>
      <c r="J24" s="193" t="e">
        <f t="shared" si="1"/>
        <v>#DIV/0!</v>
      </c>
      <c r="K24" s="265"/>
      <c r="L24" s="247" t="e">
        <f t="shared" si="0"/>
        <v>#DIV/0!</v>
      </c>
      <c r="M24" s="269"/>
      <c r="N24" s="533"/>
      <c r="O24" s="534"/>
    </row>
    <row r="25" spans="1:15" s="115" customFormat="1" ht="20.100000000000001" customHeight="1" x14ac:dyDescent="0.3">
      <c r="A25" s="142">
        <v>9</v>
      </c>
      <c r="B25" s="521"/>
      <c r="C25" s="522"/>
      <c r="D25" s="523"/>
      <c r="E25" s="185"/>
      <c r="F25" s="186"/>
      <c r="G25" s="187"/>
      <c r="H25" s="245">
        <f>'1 ESTADÍSTICA MENSUAL'!M13</f>
        <v>0</v>
      </c>
      <c r="I25" s="265"/>
      <c r="J25" s="193" t="e">
        <f t="shared" si="1"/>
        <v>#DIV/0!</v>
      </c>
      <c r="K25" s="265"/>
      <c r="L25" s="247" t="e">
        <f t="shared" si="0"/>
        <v>#DIV/0!</v>
      </c>
      <c r="M25" s="269"/>
      <c r="N25" s="533"/>
      <c r="O25" s="534"/>
    </row>
    <row r="26" spans="1:15" s="115" customFormat="1" ht="20.100000000000001" customHeight="1" x14ac:dyDescent="0.3">
      <c r="A26" s="182">
        <v>10</v>
      </c>
      <c r="B26" s="521"/>
      <c r="C26" s="522"/>
      <c r="D26" s="523"/>
      <c r="E26" s="185"/>
      <c r="F26" s="186"/>
      <c r="G26" s="187"/>
      <c r="H26" s="245">
        <f>'1 ESTADÍSTICA MENSUAL'!M13</f>
        <v>0</v>
      </c>
      <c r="I26" s="265"/>
      <c r="J26" s="193" t="e">
        <f t="shared" si="1"/>
        <v>#DIV/0!</v>
      </c>
      <c r="K26" s="265"/>
      <c r="L26" s="247" t="e">
        <f t="shared" si="0"/>
        <v>#DIV/0!</v>
      </c>
      <c r="M26" s="269"/>
      <c r="N26" s="533"/>
      <c r="O26" s="534"/>
    </row>
    <row r="27" spans="1:15" s="115" customFormat="1" ht="20.100000000000001" customHeight="1" x14ac:dyDescent="0.3">
      <c r="A27" s="182">
        <v>11</v>
      </c>
      <c r="B27" s="521"/>
      <c r="C27" s="522"/>
      <c r="D27" s="523"/>
      <c r="E27" s="185"/>
      <c r="F27" s="186"/>
      <c r="G27" s="187"/>
      <c r="H27" s="245">
        <f>'1 ESTADÍSTICA MENSUAL'!M13</f>
        <v>0</v>
      </c>
      <c r="I27" s="265"/>
      <c r="J27" s="193" t="e">
        <f t="shared" si="1"/>
        <v>#DIV/0!</v>
      </c>
      <c r="K27" s="265"/>
      <c r="L27" s="247" t="e">
        <f t="shared" si="0"/>
        <v>#DIV/0!</v>
      </c>
      <c r="M27" s="269"/>
      <c r="N27" s="533"/>
      <c r="O27" s="534"/>
    </row>
    <row r="28" spans="1:15" s="115" customFormat="1" ht="20.100000000000001" customHeight="1" x14ac:dyDescent="0.3">
      <c r="A28" s="182">
        <v>12</v>
      </c>
      <c r="B28" s="521"/>
      <c r="C28" s="522"/>
      <c r="D28" s="523"/>
      <c r="E28" s="185"/>
      <c r="F28" s="186"/>
      <c r="G28" s="187"/>
      <c r="H28" s="245">
        <f>'1 ESTADÍSTICA MENSUAL'!M13</f>
        <v>0</v>
      </c>
      <c r="I28" s="265"/>
      <c r="J28" s="193" t="e">
        <f t="shared" si="1"/>
        <v>#DIV/0!</v>
      </c>
      <c r="K28" s="265"/>
      <c r="L28" s="247" t="e">
        <f t="shared" si="0"/>
        <v>#DIV/0!</v>
      </c>
      <c r="M28" s="269"/>
      <c r="N28" s="533"/>
      <c r="O28" s="534"/>
    </row>
    <row r="29" spans="1:15" s="115" customFormat="1" ht="20.100000000000001" customHeight="1" x14ac:dyDescent="0.3">
      <c r="A29" s="182">
        <v>13</v>
      </c>
      <c r="B29" s="521"/>
      <c r="C29" s="522"/>
      <c r="D29" s="523"/>
      <c r="E29" s="185"/>
      <c r="F29" s="186"/>
      <c r="G29" s="187"/>
      <c r="H29" s="245">
        <f>'1 ESTADÍSTICA MENSUAL'!M13</f>
        <v>0</v>
      </c>
      <c r="I29" s="265"/>
      <c r="J29" s="193" t="e">
        <f t="shared" si="1"/>
        <v>#DIV/0!</v>
      </c>
      <c r="K29" s="265"/>
      <c r="L29" s="247" t="e">
        <f t="shared" si="0"/>
        <v>#DIV/0!</v>
      </c>
      <c r="M29" s="269"/>
      <c r="N29" s="533"/>
      <c r="O29" s="534"/>
    </row>
    <row r="30" spans="1:15" s="115" customFormat="1" ht="20.100000000000001" customHeight="1" x14ac:dyDescent="0.3">
      <c r="A30" s="182">
        <v>14</v>
      </c>
      <c r="B30" s="521"/>
      <c r="C30" s="522"/>
      <c r="D30" s="523"/>
      <c r="E30" s="185"/>
      <c r="F30" s="186"/>
      <c r="G30" s="187"/>
      <c r="H30" s="245">
        <f>'1 ESTADÍSTICA MENSUAL'!M13</f>
        <v>0</v>
      </c>
      <c r="I30" s="265"/>
      <c r="J30" s="193" t="e">
        <f t="shared" si="1"/>
        <v>#DIV/0!</v>
      </c>
      <c r="K30" s="265"/>
      <c r="L30" s="247" t="e">
        <f t="shared" si="0"/>
        <v>#DIV/0!</v>
      </c>
      <c r="M30" s="269"/>
      <c r="N30" s="533"/>
      <c r="O30" s="534"/>
    </row>
    <row r="31" spans="1:15" s="115" customFormat="1" ht="20.100000000000001" customHeight="1" x14ac:dyDescent="0.3">
      <c r="A31" s="182">
        <v>15</v>
      </c>
      <c r="B31" s="521"/>
      <c r="C31" s="522"/>
      <c r="D31" s="523"/>
      <c r="E31" s="185"/>
      <c r="F31" s="186"/>
      <c r="G31" s="187"/>
      <c r="H31" s="245">
        <f>'1 ESTADÍSTICA MENSUAL'!M13</f>
        <v>0</v>
      </c>
      <c r="I31" s="265"/>
      <c r="J31" s="193" t="e">
        <f t="shared" si="1"/>
        <v>#DIV/0!</v>
      </c>
      <c r="K31" s="265"/>
      <c r="L31" s="247" t="e">
        <f t="shared" si="0"/>
        <v>#DIV/0!</v>
      </c>
      <c r="M31" s="269"/>
      <c r="N31" s="533"/>
      <c r="O31" s="534"/>
    </row>
    <row r="32" spans="1:15" s="115" customFormat="1" ht="20.100000000000001" customHeight="1" x14ac:dyDescent="0.3">
      <c r="A32" s="182">
        <v>16</v>
      </c>
      <c r="B32" s="521"/>
      <c r="C32" s="522"/>
      <c r="D32" s="523"/>
      <c r="E32" s="185"/>
      <c r="F32" s="186"/>
      <c r="G32" s="187"/>
      <c r="H32" s="245">
        <f>'1 ESTADÍSTICA MENSUAL'!M13</f>
        <v>0</v>
      </c>
      <c r="I32" s="414"/>
      <c r="J32" s="193" t="e">
        <f t="shared" si="1"/>
        <v>#DIV/0!</v>
      </c>
      <c r="K32" s="265"/>
      <c r="L32" s="247" t="e">
        <f t="shared" si="0"/>
        <v>#DIV/0!</v>
      </c>
      <c r="M32" s="269"/>
      <c r="N32" s="533"/>
      <c r="O32" s="534"/>
    </row>
    <row r="33" spans="1:15" s="115" customFormat="1" ht="20.100000000000001" customHeight="1" x14ac:dyDescent="0.3">
      <c r="A33" s="182">
        <v>17</v>
      </c>
      <c r="B33" s="521"/>
      <c r="C33" s="522"/>
      <c r="D33" s="523"/>
      <c r="E33" s="185"/>
      <c r="F33" s="186"/>
      <c r="G33" s="187"/>
      <c r="H33" s="245">
        <f>'1 ESTADÍSTICA MENSUAL'!M13</f>
        <v>0</v>
      </c>
      <c r="I33" s="265"/>
      <c r="J33" s="193" t="e">
        <f t="shared" si="1"/>
        <v>#DIV/0!</v>
      </c>
      <c r="K33" s="265"/>
      <c r="L33" s="247" t="e">
        <f t="shared" si="0"/>
        <v>#DIV/0!</v>
      </c>
      <c r="M33" s="269"/>
      <c r="N33" s="533"/>
      <c r="O33" s="534"/>
    </row>
    <row r="34" spans="1:15" s="115" customFormat="1" ht="20.100000000000001" customHeight="1" x14ac:dyDescent="0.3">
      <c r="A34" s="182">
        <v>18</v>
      </c>
      <c r="B34" s="521"/>
      <c r="C34" s="522"/>
      <c r="D34" s="523"/>
      <c r="E34" s="185"/>
      <c r="F34" s="186"/>
      <c r="G34" s="187"/>
      <c r="H34" s="245">
        <f>'1 ESTADÍSTICA MENSUAL'!M13</f>
        <v>0</v>
      </c>
      <c r="I34" s="265"/>
      <c r="J34" s="193" t="e">
        <f t="shared" si="1"/>
        <v>#DIV/0!</v>
      </c>
      <c r="K34" s="265"/>
      <c r="L34" s="247" t="e">
        <f t="shared" si="0"/>
        <v>#DIV/0!</v>
      </c>
      <c r="M34" s="269"/>
      <c r="N34" s="533"/>
      <c r="O34" s="534"/>
    </row>
    <row r="35" spans="1:15" s="115" customFormat="1" ht="20.100000000000001" customHeight="1" x14ac:dyDescent="0.3">
      <c r="A35" s="182">
        <v>19</v>
      </c>
      <c r="B35" s="521"/>
      <c r="C35" s="522"/>
      <c r="D35" s="523"/>
      <c r="E35" s="185"/>
      <c r="F35" s="186"/>
      <c r="G35" s="187"/>
      <c r="H35" s="245">
        <f>'1 ESTADÍSTICA MENSUAL'!M13</f>
        <v>0</v>
      </c>
      <c r="I35" s="265"/>
      <c r="J35" s="193" t="e">
        <f t="shared" si="1"/>
        <v>#DIV/0!</v>
      </c>
      <c r="K35" s="265"/>
      <c r="L35" s="247" t="e">
        <f t="shared" si="0"/>
        <v>#DIV/0!</v>
      </c>
      <c r="M35" s="269"/>
      <c r="N35" s="533"/>
      <c r="O35" s="534"/>
    </row>
    <row r="36" spans="1:15" s="115" customFormat="1" ht="20.100000000000001" customHeight="1" x14ac:dyDescent="0.3">
      <c r="A36" s="182">
        <v>20</v>
      </c>
      <c r="B36" s="521"/>
      <c r="C36" s="522"/>
      <c r="D36" s="523"/>
      <c r="E36" s="185"/>
      <c r="F36" s="186"/>
      <c r="G36" s="187"/>
      <c r="H36" s="245">
        <f>'1 ESTADÍSTICA MENSUAL'!M13</f>
        <v>0</v>
      </c>
      <c r="I36" s="265"/>
      <c r="J36" s="193" t="e">
        <f t="shared" si="1"/>
        <v>#DIV/0!</v>
      </c>
      <c r="K36" s="265"/>
      <c r="L36" s="247" t="e">
        <f t="shared" si="0"/>
        <v>#DIV/0!</v>
      </c>
      <c r="M36" s="269"/>
      <c r="N36" s="533"/>
      <c r="O36" s="534"/>
    </row>
    <row r="37" spans="1:15" s="115" customFormat="1" ht="20.100000000000001" customHeight="1" x14ac:dyDescent="0.3">
      <c r="A37" s="182">
        <v>21</v>
      </c>
      <c r="B37" s="521"/>
      <c r="C37" s="522"/>
      <c r="D37" s="523"/>
      <c r="E37" s="185"/>
      <c r="F37" s="186"/>
      <c r="G37" s="187"/>
      <c r="H37" s="245">
        <f>'1 ESTADÍSTICA MENSUAL'!M13</f>
        <v>0</v>
      </c>
      <c r="I37" s="414"/>
      <c r="J37" s="193" t="e">
        <f t="shared" si="1"/>
        <v>#DIV/0!</v>
      </c>
      <c r="K37" s="265"/>
      <c r="L37" s="247" t="e">
        <f t="shared" si="0"/>
        <v>#DIV/0!</v>
      </c>
      <c r="M37" s="269"/>
      <c r="N37" s="533"/>
      <c r="O37" s="534"/>
    </row>
    <row r="38" spans="1:15" s="115" customFormat="1" ht="20.100000000000001" customHeight="1" x14ac:dyDescent="0.3">
      <c r="A38" s="182">
        <v>22</v>
      </c>
      <c r="B38" s="521"/>
      <c r="C38" s="522"/>
      <c r="D38" s="523"/>
      <c r="E38" s="185"/>
      <c r="F38" s="186"/>
      <c r="G38" s="187"/>
      <c r="H38" s="245">
        <f>'1 ESTADÍSTICA MENSUAL'!M13</f>
        <v>0</v>
      </c>
      <c r="I38" s="265"/>
      <c r="J38" s="193" t="e">
        <f t="shared" si="1"/>
        <v>#DIV/0!</v>
      </c>
      <c r="K38" s="265"/>
      <c r="L38" s="247" t="e">
        <f t="shared" si="0"/>
        <v>#DIV/0!</v>
      </c>
      <c r="M38" s="269"/>
      <c r="N38" s="533"/>
      <c r="O38" s="534"/>
    </row>
    <row r="39" spans="1:15" s="115" customFormat="1" ht="20.100000000000001" customHeight="1" x14ac:dyDescent="0.3">
      <c r="A39" s="182">
        <v>23</v>
      </c>
      <c r="B39" s="521"/>
      <c r="C39" s="522"/>
      <c r="D39" s="523"/>
      <c r="E39" s="185"/>
      <c r="F39" s="186"/>
      <c r="G39" s="187"/>
      <c r="H39" s="245">
        <f>'1 ESTADÍSTICA MENSUAL'!M13</f>
        <v>0</v>
      </c>
      <c r="I39" s="265"/>
      <c r="J39" s="193" t="e">
        <f t="shared" si="1"/>
        <v>#DIV/0!</v>
      </c>
      <c r="K39" s="265"/>
      <c r="L39" s="247" t="e">
        <f t="shared" si="0"/>
        <v>#DIV/0!</v>
      </c>
      <c r="M39" s="269"/>
      <c r="N39" s="533"/>
      <c r="O39" s="534"/>
    </row>
    <row r="40" spans="1:15" s="115" customFormat="1" ht="20.100000000000001" customHeight="1" x14ac:dyDescent="0.3">
      <c r="A40" s="182">
        <v>24</v>
      </c>
      <c r="B40" s="521"/>
      <c r="C40" s="522"/>
      <c r="D40" s="523"/>
      <c r="E40" s="185"/>
      <c r="F40" s="186"/>
      <c r="G40" s="187"/>
      <c r="H40" s="245">
        <f>'1 ESTADÍSTICA MENSUAL'!M13</f>
        <v>0</v>
      </c>
      <c r="I40" s="265"/>
      <c r="J40" s="193" t="e">
        <f t="shared" si="1"/>
        <v>#DIV/0!</v>
      </c>
      <c r="K40" s="265"/>
      <c r="L40" s="247" t="e">
        <f t="shared" si="0"/>
        <v>#DIV/0!</v>
      </c>
      <c r="M40" s="269"/>
      <c r="N40" s="533"/>
      <c r="O40" s="534"/>
    </row>
    <row r="41" spans="1:15" s="115" customFormat="1" ht="20.100000000000001" customHeight="1" x14ac:dyDescent="0.3">
      <c r="A41" s="182">
        <v>25</v>
      </c>
      <c r="B41" s="521"/>
      <c r="C41" s="522"/>
      <c r="D41" s="523"/>
      <c r="E41" s="185"/>
      <c r="F41" s="186"/>
      <c r="G41" s="187"/>
      <c r="H41" s="245">
        <f>'1 ESTADÍSTICA MENSUAL'!M13</f>
        <v>0</v>
      </c>
      <c r="I41" s="265"/>
      <c r="J41" s="193" t="e">
        <f t="shared" si="1"/>
        <v>#DIV/0!</v>
      </c>
      <c r="K41" s="265"/>
      <c r="L41" s="247" t="e">
        <f t="shared" si="0"/>
        <v>#DIV/0!</v>
      </c>
      <c r="M41" s="269"/>
      <c r="N41" s="533"/>
      <c r="O41" s="534"/>
    </row>
    <row r="42" spans="1:15" s="115" customFormat="1" ht="20.100000000000001" customHeight="1" x14ac:dyDescent="0.3">
      <c r="A42" s="182">
        <v>26</v>
      </c>
      <c r="B42" s="521"/>
      <c r="C42" s="522"/>
      <c r="D42" s="523"/>
      <c r="E42" s="185"/>
      <c r="F42" s="186"/>
      <c r="G42" s="187"/>
      <c r="H42" s="245">
        <f>'1 ESTADÍSTICA MENSUAL'!M13</f>
        <v>0</v>
      </c>
      <c r="I42" s="265"/>
      <c r="J42" s="193" t="e">
        <f t="shared" si="1"/>
        <v>#DIV/0!</v>
      </c>
      <c r="K42" s="265"/>
      <c r="L42" s="247" t="e">
        <f t="shared" si="0"/>
        <v>#DIV/0!</v>
      </c>
      <c r="M42" s="269"/>
      <c r="N42" s="533"/>
      <c r="O42" s="534"/>
    </row>
    <row r="43" spans="1:15" s="115" customFormat="1" ht="20.100000000000001" customHeight="1" x14ac:dyDescent="0.3">
      <c r="A43" s="182">
        <v>27</v>
      </c>
      <c r="B43" s="521"/>
      <c r="C43" s="522"/>
      <c r="D43" s="523"/>
      <c r="E43" s="185"/>
      <c r="F43" s="186"/>
      <c r="G43" s="187"/>
      <c r="H43" s="245">
        <f>'1 ESTADÍSTICA MENSUAL'!M13</f>
        <v>0</v>
      </c>
      <c r="I43" s="265"/>
      <c r="J43" s="193" t="e">
        <f t="shared" si="1"/>
        <v>#DIV/0!</v>
      </c>
      <c r="K43" s="265"/>
      <c r="L43" s="247" t="e">
        <f t="shared" si="0"/>
        <v>#DIV/0!</v>
      </c>
      <c r="M43" s="269"/>
      <c r="N43" s="533"/>
      <c r="O43" s="534"/>
    </row>
    <row r="44" spans="1:15" s="115" customFormat="1" ht="20.100000000000001" customHeight="1" x14ac:dyDescent="0.3">
      <c r="A44" s="182">
        <v>28</v>
      </c>
      <c r="B44" s="521"/>
      <c r="C44" s="522"/>
      <c r="D44" s="523"/>
      <c r="E44" s="185"/>
      <c r="F44" s="186"/>
      <c r="G44" s="187"/>
      <c r="H44" s="245">
        <f>'1 ESTADÍSTICA MENSUAL'!M13</f>
        <v>0</v>
      </c>
      <c r="I44" s="265"/>
      <c r="J44" s="193" t="e">
        <f t="shared" si="1"/>
        <v>#DIV/0!</v>
      </c>
      <c r="K44" s="265"/>
      <c r="L44" s="247" t="e">
        <f t="shared" si="0"/>
        <v>#DIV/0!</v>
      </c>
      <c r="M44" s="269"/>
      <c r="N44" s="533"/>
      <c r="O44" s="534"/>
    </row>
    <row r="45" spans="1:15" s="115" customFormat="1" ht="20.100000000000001" customHeight="1" x14ac:dyDescent="0.3">
      <c r="A45" s="182">
        <v>29</v>
      </c>
      <c r="B45" s="521"/>
      <c r="C45" s="522"/>
      <c r="D45" s="523"/>
      <c r="E45" s="185"/>
      <c r="F45" s="186"/>
      <c r="G45" s="187"/>
      <c r="H45" s="245">
        <f>'1 ESTADÍSTICA MENSUAL'!M13</f>
        <v>0</v>
      </c>
      <c r="I45" s="265"/>
      <c r="J45" s="193" t="e">
        <f t="shared" si="1"/>
        <v>#DIV/0!</v>
      </c>
      <c r="K45" s="267"/>
      <c r="L45" s="247" t="e">
        <f t="shared" si="0"/>
        <v>#DIV/0!</v>
      </c>
      <c r="M45" s="269"/>
      <c r="N45" s="533"/>
      <c r="O45" s="534"/>
    </row>
    <row r="46" spans="1:15" s="115" customFormat="1" ht="20.100000000000001" customHeight="1" x14ac:dyDescent="0.3">
      <c r="A46" s="182">
        <v>30</v>
      </c>
      <c r="B46" s="521"/>
      <c r="C46" s="522"/>
      <c r="D46" s="523"/>
      <c r="E46" s="185"/>
      <c r="F46" s="186"/>
      <c r="G46" s="187"/>
      <c r="H46" s="245">
        <f>'1 ESTADÍSTICA MENSUAL'!M13</f>
        <v>0</v>
      </c>
      <c r="I46" s="265"/>
      <c r="J46" s="193" t="e">
        <f t="shared" si="1"/>
        <v>#DIV/0!</v>
      </c>
      <c r="K46" s="265"/>
      <c r="L46" s="247" t="e">
        <f t="shared" si="0"/>
        <v>#DIV/0!</v>
      </c>
      <c r="M46" s="269"/>
      <c r="N46" s="533"/>
      <c r="O46" s="534"/>
    </row>
    <row r="47" spans="1:15" s="115" customFormat="1" ht="20.100000000000001" customHeight="1" x14ac:dyDescent="0.3">
      <c r="A47" s="182">
        <v>31</v>
      </c>
      <c r="B47" s="521"/>
      <c r="C47" s="522"/>
      <c r="D47" s="523"/>
      <c r="E47" s="185"/>
      <c r="F47" s="186"/>
      <c r="G47" s="187"/>
      <c r="H47" s="245">
        <f>'1 ESTADÍSTICA MENSUAL'!M13</f>
        <v>0</v>
      </c>
      <c r="I47" s="266"/>
      <c r="J47" s="193" t="e">
        <f t="shared" si="1"/>
        <v>#DIV/0!</v>
      </c>
      <c r="K47" s="266"/>
      <c r="L47" s="247" t="e">
        <f t="shared" si="0"/>
        <v>#DIV/0!</v>
      </c>
      <c r="M47" s="269"/>
      <c r="N47" s="533"/>
      <c r="O47" s="534"/>
    </row>
    <row r="48" spans="1:15" s="115" customFormat="1" ht="20.100000000000001" customHeight="1" x14ac:dyDescent="0.3">
      <c r="A48" s="182">
        <v>32</v>
      </c>
      <c r="B48" s="521"/>
      <c r="C48" s="522"/>
      <c r="D48" s="523"/>
      <c r="E48" s="260"/>
      <c r="F48" s="261"/>
      <c r="G48" s="187"/>
      <c r="H48" s="262">
        <f>'1 ESTADÍSTICA MENSUAL'!M13</f>
        <v>0</v>
      </c>
      <c r="I48" s="267"/>
      <c r="J48" s="314" t="e">
        <f t="shared" si="1"/>
        <v>#DIV/0!</v>
      </c>
      <c r="K48" s="267"/>
      <c r="L48" s="257" t="e">
        <f t="shared" si="0"/>
        <v>#DIV/0!</v>
      </c>
      <c r="M48" s="269"/>
      <c r="N48" s="533"/>
      <c r="O48" s="534"/>
    </row>
    <row r="49" spans="1:15" s="115" customFormat="1" ht="20.100000000000001" customHeight="1" x14ac:dyDescent="0.3">
      <c r="A49" s="182">
        <v>33</v>
      </c>
      <c r="B49" s="521"/>
      <c r="C49" s="522"/>
      <c r="D49" s="523"/>
      <c r="E49" s="190"/>
      <c r="F49" s="263"/>
      <c r="G49" s="187"/>
      <c r="H49" s="264">
        <f>'1 ESTADÍSTICA MENSUAL'!M13</f>
        <v>0</v>
      </c>
      <c r="I49" s="265"/>
      <c r="J49" s="194" t="e">
        <f t="shared" si="1"/>
        <v>#DIV/0!</v>
      </c>
      <c r="K49" s="265"/>
      <c r="L49" s="255" t="e">
        <f t="shared" si="0"/>
        <v>#DIV/0!</v>
      </c>
      <c r="M49" s="269"/>
      <c r="N49" s="533"/>
      <c r="O49" s="534"/>
    </row>
    <row r="50" spans="1:15" s="115" customFormat="1" ht="20.100000000000001" customHeight="1" x14ac:dyDescent="0.3">
      <c r="A50" s="182">
        <v>34</v>
      </c>
      <c r="B50" s="521"/>
      <c r="C50" s="522"/>
      <c r="D50" s="523"/>
      <c r="E50" s="185"/>
      <c r="F50" s="186"/>
      <c r="G50" s="187"/>
      <c r="H50" s="245">
        <f>'1 ESTADÍSTICA MENSUAL'!M13</f>
        <v>0</v>
      </c>
      <c r="I50" s="265"/>
      <c r="J50" s="193" t="e">
        <f t="shared" si="1"/>
        <v>#DIV/0!</v>
      </c>
      <c r="K50" s="265"/>
      <c r="L50" s="247" t="e">
        <f t="shared" si="0"/>
        <v>#DIV/0!</v>
      </c>
      <c r="M50" s="269"/>
      <c r="N50" s="533"/>
      <c r="O50" s="534"/>
    </row>
    <row r="51" spans="1:15" s="115" customFormat="1" ht="20.100000000000001" customHeight="1" x14ac:dyDescent="0.3">
      <c r="A51" s="182">
        <v>35</v>
      </c>
      <c r="B51" s="521"/>
      <c r="C51" s="522"/>
      <c r="D51" s="523"/>
      <c r="E51" s="185"/>
      <c r="F51" s="186"/>
      <c r="G51" s="187"/>
      <c r="H51" s="245">
        <f>'1 ESTADÍSTICA MENSUAL'!M13</f>
        <v>0</v>
      </c>
      <c r="I51" s="265"/>
      <c r="J51" s="193" t="e">
        <f t="shared" si="1"/>
        <v>#DIV/0!</v>
      </c>
      <c r="K51" s="265"/>
      <c r="L51" s="247" t="e">
        <f t="shared" si="0"/>
        <v>#DIV/0!</v>
      </c>
      <c r="M51" s="269"/>
      <c r="N51" s="533"/>
      <c r="O51" s="534"/>
    </row>
    <row r="52" spans="1:15" s="115" customFormat="1" ht="20.100000000000001" customHeight="1" x14ac:dyDescent="0.3">
      <c r="A52" s="182">
        <v>36</v>
      </c>
      <c r="B52" s="521"/>
      <c r="C52" s="522"/>
      <c r="D52" s="523"/>
      <c r="E52" s="185"/>
      <c r="F52" s="186"/>
      <c r="G52" s="187"/>
      <c r="H52" s="245">
        <f>'1 ESTADÍSTICA MENSUAL'!M13</f>
        <v>0</v>
      </c>
      <c r="I52" s="265"/>
      <c r="J52" s="193" t="e">
        <f t="shared" si="1"/>
        <v>#DIV/0!</v>
      </c>
      <c r="K52" s="265"/>
      <c r="L52" s="247" t="e">
        <f t="shared" si="0"/>
        <v>#DIV/0!</v>
      </c>
      <c r="M52" s="269"/>
      <c r="N52" s="533"/>
      <c r="O52" s="534"/>
    </row>
    <row r="53" spans="1:15" s="115" customFormat="1" ht="20.100000000000001" customHeight="1" x14ac:dyDescent="0.3">
      <c r="A53" s="182">
        <v>37</v>
      </c>
      <c r="B53" s="521"/>
      <c r="C53" s="522"/>
      <c r="D53" s="523"/>
      <c r="E53" s="185"/>
      <c r="F53" s="186"/>
      <c r="G53" s="187"/>
      <c r="H53" s="245">
        <f>'1 ESTADÍSTICA MENSUAL'!M13</f>
        <v>0</v>
      </c>
      <c r="I53" s="265"/>
      <c r="J53" s="193" t="e">
        <f t="shared" si="1"/>
        <v>#DIV/0!</v>
      </c>
      <c r="K53" s="265"/>
      <c r="L53" s="247" t="e">
        <f t="shared" si="0"/>
        <v>#DIV/0!</v>
      </c>
      <c r="M53" s="269"/>
      <c r="N53" s="533"/>
      <c r="O53" s="534"/>
    </row>
    <row r="54" spans="1:15" s="115" customFormat="1" ht="20.100000000000001" customHeight="1" x14ac:dyDescent="0.3">
      <c r="A54" s="182">
        <v>38</v>
      </c>
      <c r="B54" s="521"/>
      <c r="C54" s="522"/>
      <c r="D54" s="523"/>
      <c r="E54" s="185"/>
      <c r="F54" s="186"/>
      <c r="G54" s="187"/>
      <c r="H54" s="245">
        <f>'1 ESTADÍSTICA MENSUAL'!M13</f>
        <v>0</v>
      </c>
      <c r="I54" s="265"/>
      <c r="J54" s="193" t="e">
        <f t="shared" si="1"/>
        <v>#DIV/0!</v>
      </c>
      <c r="K54" s="265"/>
      <c r="L54" s="247" t="e">
        <f t="shared" si="0"/>
        <v>#DIV/0!</v>
      </c>
      <c r="M54" s="269"/>
      <c r="N54" s="533"/>
      <c r="O54" s="534"/>
    </row>
    <row r="55" spans="1:15" s="115" customFormat="1" ht="20.100000000000001" customHeight="1" x14ac:dyDescent="0.3">
      <c r="A55" s="182">
        <v>39</v>
      </c>
      <c r="B55" s="521"/>
      <c r="C55" s="522"/>
      <c r="D55" s="523"/>
      <c r="E55" s="185"/>
      <c r="F55" s="186"/>
      <c r="G55" s="187"/>
      <c r="H55" s="245">
        <f>'1 ESTADÍSTICA MENSUAL'!M13</f>
        <v>0</v>
      </c>
      <c r="I55" s="266"/>
      <c r="J55" s="193" t="e">
        <f t="shared" si="1"/>
        <v>#DIV/0!</v>
      </c>
      <c r="K55" s="265"/>
      <c r="L55" s="247" t="e">
        <f t="shared" si="0"/>
        <v>#DIV/0!</v>
      </c>
      <c r="M55" s="269"/>
      <c r="N55" s="533"/>
      <c r="O55" s="534"/>
    </row>
    <row r="56" spans="1:15" s="115" customFormat="1" ht="20.100000000000001" customHeight="1" x14ac:dyDescent="0.3">
      <c r="A56" s="182">
        <v>40</v>
      </c>
      <c r="B56" s="521"/>
      <c r="C56" s="522"/>
      <c r="D56" s="523"/>
      <c r="E56" s="185"/>
      <c r="F56" s="186"/>
      <c r="G56" s="187"/>
      <c r="H56" s="245">
        <f>'1 ESTADÍSTICA MENSUAL'!M13</f>
        <v>0</v>
      </c>
      <c r="I56" s="267"/>
      <c r="J56" s="193" t="e">
        <f t="shared" si="1"/>
        <v>#DIV/0!</v>
      </c>
      <c r="K56" s="265"/>
      <c r="L56" s="247" t="e">
        <f t="shared" si="0"/>
        <v>#DIV/0!</v>
      </c>
      <c r="M56" s="269"/>
      <c r="N56" s="533"/>
      <c r="O56" s="534"/>
    </row>
    <row r="57" spans="1:15" s="115" customFormat="1" ht="20.100000000000001" customHeight="1" x14ac:dyDescent="0.3">
      <c r="A57" s="182">
        <v>41</v>
      </c>
      <c r="B57" s="521"/>
      <c r="C57" s="522"/>
      <c r="D57" s="523"/>
      <c r="E57" s="185"/>
      <c r="F57" s="186"/>
      <c r="G57" s="187"/>
      <c r="H57" s="245">
        <f>'1 ESTADÍSTICA MENSUAL'!M13</f>
        <v>0</v>
      </c>
      <c r="I57" s="265"/>
      <c r="J57" s="193" t="e">
        <f t="shared" si="1"/>
        <v>#DIV/0!</v>
      </c>
      <c r="K57" s="265"/>
      <c r="L57" s="247" t="e">
        <f t="shared" si="0"/>
        <v>#DIV/0!</v>
      </c>
      <c r="M57" s="269"/>
      <c r="N57" s="533"/>
      <c r="O57" s="534"/>
    </row>
    <row r="58" spans="1:15" s="115" customFormat="1" ht="20.100000000000001" customHeight="1" x14ac:dyDescent="0.3">
      <c r="A58" s="182">
        <v>42</v>
      </c>
      <c r="B58" s="521"/>
      <c r="C58" s="522"/>
      <c r="D58" s="523"/>
      <c r="E58" s="185"/>
      <c r="F58" s="186"/>
      <c r="G58" s="187"/>
      <c r="H58" s="245">
        <f>'1 ESTADÍSTICA MENSUAL'!M13</f>
        <v>0</v>
      </c>
      <c r="I58" s="265"/>
      <c r="J58" s="193" t="e">
        <f t="shared" si="1"/>
        <v>#DIV/0!</v>
      </c>
      <c r="K58" s="265"/>
      <c r="L58" s="247" t="e">
        <f t="shared" si="0"/>
        <v>#DIV/0!</v>
      </c>
      <c r="M58" s="269"/>
      <c r="N58" s="533"/>
      <c r="O58" s="534"/>
    </row>
    <row r="59" spans="1:15" s="115" customFormat="1" ht="20.100000000000001" customHeight="1" x14ac:dyDescent="0.3">
      <c r="A59" s="182">
        <v>43</v>
      </c>
      <c r="B59" s="521"/>
      <c r="C59" s="522"/>
      <c r="D59" s="523"/>
      <c r="E59" s="185"/>
      <c r="F59" s="186"/>
      <c r="G59" s="187"/>
      <c r="H59" s="245">
        <f>'1 ESTADÍSTICA MENSUAL'!M13</f>
        <v>0</v>
      </c>
      <c r="I59" s="265"/>
      <c r="J59" s="193" t="e">
        <f t="shared" si="1"/>
        <v>#DIV/0!</v>
      </c>
      <c r="K59" s="265"/>
      <c r="L59" s="247" t="e">
        <f t="shared" si="0"/>
        <v>#DIV/0!</v>
      </c>
      <c r="M59" s="269"/>
      <c r="N59" s="533"/>
      <c r="O59" s="534"/>
    </row>
    <row r="60" spans="1:15" s="115" customFormat="1" ht="20.100000000000001" customHeight="1" x14ac:dyDescent="0.3">
      <c r="A60" s="182">
        <v>44</v>
      </c>
      <c r="B60" s="521"/>
      <c r="C60" s="522"/>
      <c r="D60" s="523"/>
      <c r="E60" s="185"/>
      <c r="F60" s="186"/>
      <c r="G60" s="187"/>
      <c r="H60" s="245">
        <f>'1 ESTADÍSTICA MENSUAL'!M13</f>
        <v>0</v>
      </c>
      <c r="I60" s="265"/>
      <c r="J60" s="193" t="e">
        <f t="shared" si="1"/>
        <v>#DIV/0!</v>
      </c>
      <c r="K60" s="265"/>
      <c r="L60" s="247" t="e">
        <f t="shared" si="0"/>
        <v>#DIV/0!</v>
      </c>
      <c r="M60" s="269"/>
      <c r="N60" s="533"/>
      <c r="O60" s="534"/>
    </row>
    <row r="61" spans="1:15" s="115" customFormat="1" ht="20.100000000000001" customHeight="1" x14ac:dyDescent="0.3">
      <c r="A61" s="182">
        <v>45</v>
      </c>
      <c r="B61" s="521"/>
      <c r="C61" s="522"/>
      <c r="D61" s="523"/>
      <c r="E61" s="185"/>
      <c r="F61" s="186"/>
      <c r="G61" s="187"/>
      <c r="H61" s="245">
        <f>'1 ESTADÍSTICA MENSUAL'!M13</f>
        <v>0</v>
      </c>
      <c r="I61" s="265"/>
      <c r="J61" s="193" t="e">
        <f t="shared" si="1"/>
        <v>#DIV/0!</v>
      </c>
      <c r="K61" s="265"/>
      <c r="L61" s="247" t="e">
        <f t="shared" si="0"/>
        <v>#DIV/0!</v>
      </c>
      <c r="M61" s="269"/>
      <c r="N61" s="533"/>
      <c r="O61" s="534"/>
    </row>
    <row r="62" spans="1:15" s="115" customFormat="1" ht="20.100000000000001" customHeight="1" x14ac:dyDescent="0.3">
      <c r="A62" s="182">
        <v>46</v>
      </c>
      <c r="B62" s="521"/>
      <c r="C62" s="522"/>
      <c r="D62" s="523"/>
      <c r="E62" s="185"/>
      <c r="F62" s="186"/>
      <c r="G62" s="187"/>
      <c r="H62" s="245">
        <f>'1 ESTADÍSTICA MENSUAL'!M13</f>
        <v>0</v>
      </c>
      <c r="I62" s="265"/>
      <c r="J62" s="193" t="e">
        <f t="shared" si="1"/>
        <v>#DIV/0!</v>
      </c>
      <c r="K62" s="265"/>
      <c r="L62" s="247" t="e">
        <f t="shared" si="0"/>
        <v>#DIV/0!</v>
      </c>
      <c r="M62" s="269"/>
      <c r="N62" s="533"/>
      <c r="O62" s="534"/>
    </row>
    <row r="63" spans="1:15" s="115" customFormat="1" ht="20.100000000000001" customHeight="1" thickBot="1" x14ac:dyDescent="0.35">
      <c r="A63" s="182">
        <v>47</v>
      </c>
      <c r="B63" s="524"/>
      <c r="C63" s="525"/>
      <c r="D63" s="526"/>
      <c r="E63" s="208"/>
      <c r="F63" s="186"/>
      <c r="G63" s="187"/>
      <c r="H63" s="245">
        <f>'1 ESTADÍSTICA MENSUAL'!M13</f>
        <v>0</v>
      </c>
      <c r="I63" s="265"/>
      <c r="J63" s="193" t="e">
        <f t="shared" si="1"/>
        <v>#DIV/0!</v>
      </c>
      <c r="K63" s="265"/>
      <c r="L63" s="247" t="e">
        <f t="shared" si="0"/>
        <v>#DIV/0!</v>
      </c>
      <c r="M63" s="269"/>
      <c r="N63" s="533"/>
      <c r="O63" s="534"/>
    </row>
    <row r="64" spans="1:15" s="115" customFormat="1" ht="20.100000000000001" customHeight="1" thickBot="1" x14ac:dyDescent="0.35">
      <c r="A64" s="182">
        <v>48</v>
      </c>
      <c r="B64" s="554"/>
      <c r="C64" s="555"/>
      <c r="D64" s="556"/>
      <c r="E64" s="208"/>
      <c r="F64" s="186"/>
      <c r="G64" s="187"/>
      <c r="H64" s="245">
        <f>'1 ESTADÍSTICA MENSUAL'!M13</f>
        <v>0</v>
      </c>
      <c r="I64" s="265"/>
      <c r="J64" s="193" t="e">
        <f t="shared" si="1"/>
        <v>#DIV/0!</v>
      </c>
      <c r="K64" s="265"/>
      <c r="L64" s="247" t="e">
        <f t="shared" si="0"/>
        <v>#DIV/0!</v>
      </c>
      <c r="M64" s="269"/>
      <c r="N64" s="533"/>
      <c r="O64" s="534"/>
    </row>
    <row r="65" spans="1:15" s="115" customFormat="1" ht="20.100000000000001" customHeight="1" x14ac:dyDescent="0.3">
      <c r="A65" s="182">
        <v>49</v>
      </c>
      <c r="B65" s="521"/>
      <c r="C65" s="522"/>
      <c r="D65" s="523"/>
      <c r="E65" s="185"/>
      <c r="F65" s="256"/>
      <c r="G65" s="187"/>
      <c r="H65" s="245">
        <f>'1 ESTADÍSTICA MENSUAL'!M13</f>
        <v>0</v>
      </c>
      <c r="I65" s="265"/>
      <c r="J65" s="193" t="e">
        <f>I65*100/H65</f>
        <v>#DIV/0!</v>
      </c>
      <c r="K65" s="265"/>
      <c r="L65" s="247" t="e">
        <f t="shared" si="0"/>
        <v>#DIV/0!</v>
      </c>
      <c r="M65" s="269"/>
      <c r="N65" s="533"/>
      <c r="O65" s="534"/>
    </row>
    <row r="66" spans="1:15" s="115" customFormat="1" ht="20.100000000000001" customHeight="1" thickBot="1" x14ac:dyDescent="0.35">
      <c r="A66" s="258">
        <v>50</v>
      </c>
      <c r="B66" s="524"/>
      <c r="C66" s="525"/>
      <c r="D66" s="526"/>
      <c r="E66" s="185"/>
      <c r="F66" s="209"/>
      <c r="G66" s="350"/>
      <c r="H66" s="246">
        <f>'1 ESTADÍSTICA MENSUAL'!M13</f>
        <v>0</v>
      </c>
      <c r="I66" s="265"/>
      <c r="J66" s="211" t="e">
        <f t="shared" si="1"/>
        <v>#DIV/0!</v>
      </c>
      <c r="K66" s="265"/>
      <c r="L66" s="248" t="e">
        <f t="shared" si="0"/>
        <v>#DIV/0!</v>
      </c>
      <c r="M66" s="269"/>
      <c r="N66" s="533"/>
      <c r="O66" s="534"/>
    </row>
    <row r="67" spans="1:15" ht="24" customHeight="1" x14ac:dyDescent="0.3">
      <c r="A67" s="21"/>
      <c r="B67" s="214"/>
      <c r="C67" s="214"/>
      <c r="D67" s="214"/>
      <c r="E67" s="177"/>
      <c r="F67" s="178"/>
      <c r="G67" s="178"/>
      <c r="H67" s="179"/>
      <c r="I67" s="179"/>
      <c r="J67" s="179"/>
      <c r="K67" s="179"/>
      <c r="L67" s="179"/>
      <c r="M67" s="179"/>
      <c r="N67" s="179"/>
      <c r="O67" s="180"/>
    </row>
    <row r="68" spans="1:15" ht="24" customHeight="1" x14ac:dyDescent="0.3">
      <c r="A68" s="21"/>
      <c r="B68" s="214"/>
      <c r="C68" s="214"/>
      <c r="D68" s="214"/>
      <c r="E68" s="177"/>
      <c r="F68" s="178"/>
      <c r="G68" s="178"/>
      <c r="H68" s="179"/>
      <c r="I68" s="179"/>
      <c r="J68" s="179"/>
      <c r="K68" s="179"/>
      <c r="L68" s="179"/>
      <c r="M68" s="179"/>
      <c r="N68" s="179"/>
      <c r="O68" s="180"/>
    </row>
    <row r="69" spans="1:15" ht="24" customHeight="1" x14ac:dyDescent="0.3"/>
    <row r="70" spans="1:15" s="17" customFormat="1" ht="19.95" customHeight="1" x14ac:dyDescent="0.25">
      <c r="A70" s="504" t="str">
        <f>'1 ESTADÍSTICA MENSUAL'!A59:C59</f>
        <v>Nombre Director(a):</v>
      </c>
      <c r="B70" s="504"/>
      <c r="C70" s="504"/>
      <c r="D70" s="436">
        <f>'1 ESTADÍSTICA MENSUAL'!D59</f>
        <v>0</v>
      </c>
      <c r="E70" s="436"/>
      <c r="F70" s="436"/>
      <c r="G70" s="297"/>
      <c r="H70" s="259"/>
      <c r="I70" s="428" t="str">
        <f>'1 ESTADÍSTICA MENSUAL'!J59</f>
        <v>CARRIZAL,</v>
      </c>
      <c r="J70" s="428"/>
      <c r="K70" s="436">
        <f>'1 ESTADÍSTICA MENSUAL'!L59</f>
        <v>0</v>
      </c>
      <c r="L70" s="436"/>
      <c r="M70" s="436"/>
      <c r="N70" s="21"/>
    </row>
    <row r="71" spans="1:15" s="17" customFormat="1" ht="19.95" customHeight="1" x14ac:dyDescent="0.25">
      <c r="A71" s="504" t="str">
        <f>'1 ESTADÍSTICA MENSUAL'!A60:C60</f>
        <v>Cédula de Identidad Nº:</v>
      </c>
      <c r="B71" s="504"/>
      <c r="C71" s="504"/>
      <c r="D71" s="436">
        <f>'1 ESTADÍSTICA MENSUAL'!D60</f>
        <v>0</v>
      </c>
      <c r="E71" s="436"/>
      <c r="F71" s="436"/>
      <c r="G71" s="297"/>
      <c r="H71" s="259"/>
      <c r="I71" s="428" t="str">
        <f>'1 ESTADÍSTICA MENSUAL'!J60</f>
        <v>GUAICAIPURO,</v>
      </c>
      <c r="J71" s="428"/>
      <c r="K71" s="436">
        <f>'1 ESTADÍSTICA MENSUAL'!L60</f>
        <v>0</v>
      </c>
      <c r="L71" s="436"/>
      <c r="M71" s="436"/>
    </row>
    <row r="72" spans="1:15" s="17" customFormat="1" ht="19.95" customHeight="1" x14ac:dyDescent="0.25">
      <c r="A72" s="504" t="str">
        <f>'1 ESTADÍSTICA MENSUAL'!A61:C61</f>
        <v>Teléfono(s):</v>
      </c>
      <c r="B72" s="504"/>
      <c r="C72" s="504"/>
      <c r="D72" s="436">
        <f>'1 ESTADÍSTICA MENSUAL'!D61</f>
        <v>0</v>
      </c>
      <c r="E72" s="436"/>
      <c r="F72" s="436"/>
      <c r="G72" s="297"/>
      <c r="H72" s="259"/>
      <c r="I72" s="428" t="str">
        <f>'1 ESTADÍSTICA MENSUAL'!J61</f>
        <v>LOS SALIAS,</v>
      </c>
      <c r="J72" s="428"/>
      <c r="K72" s="436">
        <f>'1 ESTADÍSTICA MENSUAL'!L61</f>
        <v>0</v>
      </c>
      <c r="L72" s="436"/>
      <c r="M72" s="436"/>
    </row>
    <row r="73" spans="1:15" s="17" customFormat="1" ht="19.95" customHeight="1" x14ac:dyDescent="0.25">
      <c r="A73" s="504" t="str">
        <f>'1 ESTADÍSTICA MENSUAL'!A62:C62</f>
        <v>Correo Electrónico:</v>
      </c>
      <c r="B73" s="504"/>
      <c r="C73" s="504"/>
      <c r="D73" s="436">
        <f>'1 ESTADÍSTICA MENSUAL'!D62</f>
        <v>0</v>
      </c>
      <c r="E73" s="436"/>
      <c r="F73" s="436"/>
      <c r="G73" s="297"/>
      <c r="H73" s="259"/>
      <c r="I73" s="259"/>
      <c r="J73" s="259"/>
      <c r="K73" s="80"/>
    </row>
  </sheetData>
  <sheetProtection algorithmName="SHA-512" hashValue="wgpsoE1LkwtHlVArGCZH2s+Qb1GFri8DNgG36ykhXK8rhNiRZrWxuNwzQLK5hHB3Q3779jUBlJ3S05bd7wI+2Q==" saltValue="rlvpEACfGkgHrH62q03DzQ==" spinCount="100000" sheet="1" formatCells="0" formatColumns="0" formatRows="0"/>
  <mergeCells count="138">
    <mergeCell ref="A73:C73"/>
    <mergeCell ref="D73:F73"/>
    <mergeCell ref="B60:D60"/>
    <mergeCell ref="A71:C71"/>
    <mergeCell ref="D71:F71"/>
    <mergeCell ref="I71:J71"/>
    <mergeCell ref="K71:M71"/>
    <mergeCell ref="A72:C72"/>
    <mergeCell ref="D72:F72"/>
    <mergeCell ref="I72:J72"/>
    <mergeCell ref="K72:M72"/>
    <mergeCell ref="B66:D66"/>
    <mergeCell ref="N66:O66"/>
    <mergeCell ref="A70:C70"/>
    <mergeCell ref="D70:F70"/>
    <mergeCell ref="I70:J70"/>
    <mergeCell ref="K70:M70"/>
    <mergeCell ref="B63:D63"/>
    <mergeCell ref="N63:O63"/>
    <mergeCell ref="B64:D64"/>
    <mergeCell ref="N64:O64"/>
    <mergeCell ref="B65:D65"/>
    <mergeCell ref="N65:O65"/>
    <mergeCell ref="B59:D59"/>
    <mergeCell ref="N59:O59"/>
    <mergeCell ref="N60:O60"/>
    <mergeCell ref="B61:D61"/>
    <mergeCell ref="N61:O61"/>
    <mergeCell ref="B62:D62"/>
    <mergeCell ref="N62:O62"/>
    <mergeCell ref="B56:D56"/>
    <mergeCell ref="N56:O56"/>
    <mergeCell ref="B57:D57"/>
    <mergeCell ref="N57:O57"/>
    <mergeCell ref="B58:D58"/>
    <mergeCell ref="N58:O58"/>
    <mergeCell ref="B53:D53"/>
    <mergeCell ref="N53:O53"/>
    <mergeCell ref="B54:D54"/>
    <mergeCell ref="N54:O54"/>
    <mergeCell ref="B55:D55"/>
    <mergeCell ref="N55:O55"/>
    <mergeCell ref="B50:D50"/>
    <mergeCell ref="N50:O50"/>
    <mergeCell ref="B51:D51"/>
    <mergeCell ref="N51:O51"/>
    <mergeCell ref="B52:D52"/>
    <mergeCell ref="N52:O52"/>
    <mergeCell ref="B47:D47"/>
    <mergeCell ref="N47:O47"/>
    <mergeCell ref="B48:D48"/>
    <mergeCell ref="N48:O48"/>
    <mergeCell ref="B49:D49"/>
    <mergeCell ref="N49:O49"/>
    <mergeCell ref="B44:D44"/>
    <mergeCell ref="N44:O44"/>
    <mergeCell ref="B45:D45"/>
    <mergeCell ref="N45:O45"/>
    <mergeCell ref="B46:D46"/>
    <mergeCell ref="N46:O46"/>
    <mergeCell ref="B41:D41"/>
    <mergeCell ref="N41:O41"/>
    <mergeCell ref="B42:D42"/>
    <mergeCell ref="N42:O42"/>
    <mergeCell ref="B43:D43"/>
    <mergeCell ref="N43:O43"/>
    <mergeCell ref="B38:D38"/>
    <mergeCell ref="N38:O38"/>
    <mergeCell ref="B39:D39"/>
    <mergeCell ref="N39:O39"/>
    <mergeCell ref="B40:D40"/>
    <mergeCell ref="N40:O40"/>
    <mergeCell ref="B35:D35"/>
    <mergeCell ref="N35:O35"/>
    <mergeCell ref="B36:D36"/>
    <mergeCell ref="N36:O36"/>
    <mergeCell ref="B37:D37"/>
    <mergeCell ref="N37:O37"/>
    <mergeCell ref="B32:D32"/>
    <mergeCell ref="N32:O32"/>
    <mergeCell ref="B33:D33"/>
    <mergeCell ref="N33:O33"/>
    <mergeCell ref="B34:D34"/>
    <mergeCell ref="N34:O34"/>
    <mergeCell ref="B29:D29"/>
    <mergeCell ref="N29:O29"/>
    <mergeCell ref="B30:D30"/>
    <mergeCell ref="N30:O30"/>
    <mergeCell ref="B31:D31"/>
    <mergeCell ref="N31:O31"/>
    <mergeCell ref="B26:D26"/>
    <mergeCell ref="N26:O26"/>
    <mergeCell ref="B27:D27"/>
    <mergeCell ref="N27:O27"/>
    <mergeCell ref="B28:D28"/>
    <mergeCell ref="N28:O28"/>
    <mergeCell ref="B24:D24"/>
    <mergeCell ref="N24:O24"/>
    <mergeCell ref="B25:D25"/>
    <mergeCell ref="N25:O25"/>
    <mergeCell ref="B20:D20"/>
    <mergeCell ref="N20:O20"/>
    <mergeCell ref="B21:D21"/>
    <mergeCell ref="N21:O21"/>
    <mergeCell ref="B22:D22"/>
    <mergeCell ref="N22:O22"/>
    <mergeCell ref="B17:D17"/>
    <mergeCell ref="N17:O17"/>
    <mergeCell ref="B18:D18"/>
    <mergeCell ref="N18:O18"/>
    <mergeCell ref="B19:D19"/>
    <mergeCell ref="N19:O19"/>
    <mergeCell ref="J13:K13"/>
    <mergeCell ref="L13:M13"/>
    <mergeCell ref="B23:D23"/>
    <mergeCell ref="N23:O23"/>
    <mergeCell ref="A1:O1"/>
    <mergeCell ref="A2:O2"/>
    <mergeCell ref="A3:O3"/>
    <mergeCell ref="A4:O4"/>
    <mergeCell ref="A5:O5"/>
    <mergeCell ref="A8:O8"/>
    <mergeCell ref="A15:A16"/>
    <mergeCell ref="B15:D16"/>
    <mergeCell ref="E15:E16"/>
    <mergeCell ref="F15:F16"/>
    <mergeCell ref="G15:G16"/>
    <mergeCell ref="H15:J15"/>
    <mergeCell ref="K15:M15"/>
    <mergeCell ref="A11:B11"/>
    <mergeCell ref="C11:F11"/>
    <mergeCell ref="J11:K11"/>
    <mergeCell ref="L11:M11"/>
    <mergeCell ref="A12:B12"/>
    <mergeCell ref="C12:D12"/>
    <mergeCell ref="J12:K12"/>
    <mergeCell ref="L12:M12"/>
    <mergeCell ref="N15:O16"/>
  </mergeCells>
  <pageMargins left="0.59055118110236227" right="0.59055118110236227" top="0.39370078740157483" bottom="0.39370078740157483" header="0.31496062992125984" footer="0.31496062992125984"/>
  <pageSetup scale="30" orientation="portrait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LISTA!$A$96:$A$99</xm:f>
          </x14:formula1>
          <xm:sqref>G17:G66</xm:sqref>
        </x14:dataValidation>
        <x14:dataValidation type="list" allowBlank="1" showInputMessage="1" showErrorMessage="1">
          <x14:formula1>
            <xm:f>LISTA!$A$101:$A$102</xm:f>
          </x14:formula1>
          <xm:sqref>M17:M66</xm:sqref>
        </x14:dataValidation>
        <x14:dataValidation type="list" allowBlank="1" showInputMessage="1" showErrorMessage="1">
          <x14:formula1>
            <xm:f>LISTA!$A$72:$A$75</xm:f>
          </x14:formula1>
          <xm:sqref>F17:F66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AE64"/>
  <sheetViews>
    <sheetView showGridLines="0" view="pageBreakPreview" topLeftCell="A29" zoomScale="80" zoomScaleNormal="78" zoomScaleSheetLayoutView="80" workbookViewId="0">
      <selection sqref="A1:S1"/>
    </sheetView>
  </sheetViews>
  <sheetFormatPr baseColWidth="10" defaultColWidth="11.44140625" defaultRowHeight="13.2" x14ac:dyDescent="0.25"/>
  <cols>
    <col min="1" max="11" width="10.109375" style="17" customWidth="1"/>
    <col min="12" max="12" width="10" style="17" customWidth="1"/>
    <col min="13" max="19" width="10.109375" style="17" customWidth="1"/>
    <col min="20" max="31" width="8.88671875" style="17" customWidth="1"/>
    <col min="32" max="16384" width="11.44140625" style="17"/>
  </cols>
  <sheetData>
    <row r="1" spans="1:31" ht="12.75" customHeight="1" x14ac:dyDescent="0.25">
      <c r="A1" s="503" t="s">
        <v>111</v>
      </c>
      <c r="B1" s="503"/>
      <c r="C1" s="503"/>
      <c r="D1" s="503"/>
      <c r="E1" s="503"/>
      <c r="F1" s="503"/>
      <c r="G1" s="503"/>
      <c r="H1" s="503"/>
      <c r="I1" s="503"/>
      <c r="J1" s="503"/>
      <c r="K1" s="503"/>
      <c r="L1" s="503"/>
      <c r="M1" s="503"/>
      <c r="N1" s="503"/>
      <c r="O1" s="503"/>
      <c r="P1" s="503"/>
      <c r="Q1" s="503"/>
      <c r="R1" s="503"/>
      <c r="S1" s="503"/>
      <c r="T1" s="138"/>
    </row>
    <row r="2" spans="1:31" ht="15" customHeight="1" x14ac:dyDescent="0.25">
      <c r="A2" s="444" t="s">
        <v>112</v>
      </c>
      <c r="B2" s="444"/>
      <c r="C2" s="444"/>
      <c r="D2" s="444"/>
      <c r="E2" s="444"/>
      <c r="F2" s="444"/>
      <c r="G2" s="444"/>
      <c r="H2" s="444"/>
      <c r="I2" s="444"/>
      <c r="J2" s="444"/>
      <c r="K2" s="444"/>
      <c r="L2" s="444"/>
      <c r="M2" s="444"/>
      <c r="N2" s="444"/>
      <c r="O2" s="444"/>
      <c r="P2" s="444"/>
      <c r="Q2" s="444"/>
      <c r="R2" s="444"/>
      <c r="S2" s="444"/>
      <c r="T2" s="138"/>
    </row>
    <row r="3" spans="1:31" ht="15" customHeight="1" x14ac:dyDescent="0.25">
      <c r="A3" s="444" t="s">
        <v>113</v>
      </c>
      <c r="B3" s="444"/>
      <c r="C3" s="444"/>
      <c r="D3" s="444"/>
      <c r="E3" s="444"/>
      <c r="F3" s="444"/>
      <c r="G3" s="444"/>
      <c r="H3" s="444"/>
      <c r="I3" s="444"/>
      <c r="J3" s="444"/>
      <c r="K3" s="444"/>
      <c r="L3" s="444"/>
      <c r="M3" s="444"/>
      <c r="N3" s="444"/>
      <c r="O3" s="444"/>
      <c r="P3" s="444"/>
      <c r="Q3" s="444"/>
      <c r="R3" s="444"/>
      <c r="S3" s="444"/>
      <c r="T3" s="138"/>
    </row>
    <row r="4" spans="1:31" ht="15" customHeight="1" x14ac:dyDescent="0.25">
      <c r="A4" s="444" t="s">
        <v>114</v>
      </c>
      <c r="B4" s="444"/>
      <c r="C4" s="444"/>
      <c r="D4" s="444"/>
      <c r="E4" s="444"/>
      <c r="F4" s="444"/>
      <c r="G4" s="444"/>
      <c r="H4" s="444"/>
      <c r="I4" s="444"/>
      <c r="J4" s="444"/>
      <c r="K4" s="444"/>
      <c r="L4" s="444"/>
      <c r="M4" s="444"/>
      <c r="N4" s="444"/>
      <c r="O4" s="444"/>
      <c r="P4" s="444"/>
      <c r="Q4" s="444"/>
      <c r="R4" s="444"/>
      <c r="S4" s="444"/>
      <c r="T4" s="138"/>
    </row>
    <row r="5" spans="1:31" ht="15" customHeight="1" x14ac:dyDescent="0.25">
      <c r="A5" s="444" t="s">
        <v>115</v>
      </c>
      <c r="B5" s="444"/>
      <c r="C5" s="444"/>
      <c r="D5" s="444"/>
      <c r="E5" s="444"/>
      <c r="F5" s="444"/>
      <c r="G5" s="444"/>
      <c r="H5" s="444"/>
      <c r="I5" s="444"/>
      <c r="J5" s="444"/>
      <c r="K5" s="444"/>
      <c r="L5" s="444"/>
      <c r="M5" s="444"/>
      <c r="N5" s="444"/>
      <c r="O5" s="444"/>
      <c r="P5" s="444"/>
      <c r="Q5" s="444"/>
      <c r="R5" s="444"/>
      <c r="S5" s="444"/>
      <c r="T5" s="138"/>
    </row>
    <row r="6" spans="1:31" ht="13.8" thickBot="1" x14ac:dyDescent="0.3"/>
    <row r="7" spans="1:31" s="86" customFormat="1" ht="20.100000000000001" customHeight="1" thickBot="1" x14ac:dyDescent="0.3">
      <c r="A7" s="572" t="s">
        <v>60</v>
      </c>
      <c r="B7" s="573"/>
      <c r="C7" s="573"/>
      <c r="D7" s="573"/>
      <c r="E7" s="573"/>
      <c r="F7" s="573"/>
      <c r="G7" s="573"/>
      <c r="H7" s="573"/>
      <c r="I7" s="573"/>
      <c r="J7" s="573"/>
      <c r="K7" s="573"/>
      <c r="L7" s="573"/>
      <c r="M7" s="573"/>
      <c r="N7" s="573"/>
      <c r="O7" s="573"/>
      <c r="P7" s="573"/>
      <c r="Q7" s="573"/>
      <c r="R7" s="573"/>
      <c r="S7" s="574"/>
      <c r="T7" s="85"/>
      <c r="U7" s="85"/>
      <c r="V7" s="85"/>
      <c r="W7" s="85"/>
      <c r="X7" s="85"/>
      <c r="Y7" s="85"/>
      <c r="Z7" s="85"/>
      <c r="AA7" s="85"/>
      <c r="AB7" s="85"/>
      <c r="AC7" s="85"/>
      <c r="AD7" s="85"/>
      <c r="AE7" s="85"/>
    </row>
    <row r="8" spans="1:31" s="86" customFormat="1" ht="20.100000000000001" customHeight="1" x14ac:dyDescent="0.25">
      <c r="A8" s="87"/>
      <c r="B8" s="87"/>
      <c r="C8" s="87"/>
      <c r="D8" s="87"/>
      <c r="E8" s="87"/>
      <c r="F8" s="87"/>
      <c r="G8" s="87"/>
      <c r="H8" s="87"/>
      <c r="I8" s="87"/>
      <c r="J8" s="87"/>
      <c r="K8" s="87"/>
      <c r="L8" s="87"/>
      <c r="M8" s="87"/>
      <c r="N8" s="87"/>
      <c r="O8" s="87"/>
      <c r="P8" s="87"/>
      <c r="Q8" s="87"/>
      <c r="R8" s="87"/>
      <c r="S8" s="87"/>
      <c r="T8" s="85"/>
      <c r="U8" s="85"/>
      <c r="V8" s="85"/>
      <c r="W8" s="85"/>
      <c r="X8" s="85"/>
      <c r="Y8" s="85"/>
      <c r="Z8" s="85"/>
      <c r="AA8" s="85"/>
      <c r="AB8" s="85"/>
      <c r="AC8" s="85"/>
      <c r="AD8" s="85"/>
      <c r="AE8" s="85"/>
    </row>
    <row r="9" spans="1:31" ht="20.100000000000001" customHeight="1" x14ac:dyDescent="0.25">
      <c r="A9" s="457" t="s">
        <v>14</v>
      </c>
      <c r="B9" s="457"/>
      <c r="C9" s="519">
        <f>'1 ESTADÍSTICA MENSUAL'!C11</f>
        <v>0</v>
      </c>
      <c r="D9" s="519"/>
      <c r="E9" s="519"/>
      <c r="F9" s="519"/>
      <c r="G9" s="519"/>
      <c r="H9" s="519"/>
      <c r="I9" s="519"/>
      <c r="O9" s="571" t="s">
        <v>39</v>
      </c>
      <c r="P9" s="571"/>
      <c r="Q9" s="571"/>
      <c r="R9" s="518">
        <f>'1 ESTADÍSTICA MENSUAL'!M11</f>
        <v>0</v>
      </c>
      <c r="S9" s="518"/>
    </row>
    <row r="10" spans="1:31" ht="20.100000000000001" customHeight="1" x14ac:dyDescent="0.25">
      <c r="A10" s="457" t="s">
        <v>15</v>
      </c>
      <c r="B10" s="457"/>
      <c r="C10" s="518">
        <f>'1 ESTADÍSTICA MENSUAL'!C12</f>
        <v>0</v>
      </c>
      <c r="D10" s="518"/>
      <c r="E10" s="20" t="s">
        <v>0</v>
      </c>
      <c r="F10" s="570">
        <f>'1 ESTADÍSTICA MENSUAL'!F12</f>
        <v>0</v>
      </c>
      <c r="G10" s="520"/>
      <c r="H10" s="520"/>
      <c r="I10" s="520"/>
      <c r="O10" s="569" t="s">
        <v>16</v>
      </c>
      <c r="P10" s="569"/>
      <c r="Q10" s="569"/>
      <c r="R10" s="558">
        <f>'1 ESTADÍSTICA MENSUAL'!M12</f>
        <v>0</v>
      </c>
      <c r="S10" s="558"/>
    </row>
    <row r="11" spans="1:31" s="86" customFormat="1" ht="20.100000000000001" customHeight="1" x14ac:dyDescent="0.25">
      <c r="A11" s="87"/>
      <c r="B11" s="87"/>
      <c r="C11" s="87"/>
      <c r="D11" s="87"/>
      <c r="E11" s="87"/>
      <c r="F11" s="87"/>
      <c r="G11" s="87"/>
      <c r="H11" s="87"/>
      <c r="I11" s="87"/>
      <c r="O11" s="569" t="s">
        <v>40</v>
      </c>
      <c r="P11" s="569"/>
      <c r="Q11" s="569"/>
      <c r="R11" s="558">
        <f>'1 ESTADÍSTICA MENSUAL'!M13</f>
        <v>0</v>
      </c>
      <c r="S11" s="558"/>
      <c r="T11" s="85"/>
      <c r="U11" s="85"/>
      <c r="V11" s="85"/>
      <c r="W11" s="85"/>
      <c r="X11" s="85"/>
      <c r="Y11" s="85"/>
      <c r="Z11" s="85"/>
      <c r="AA11" s="85"/>
      <c r="AB11" s="85"/>
      <c r="AC11" s="85"/>
      <c r="AD11" s="85"/>
      <c r="AE11" s="85"/>
    </row>
    <row r="12" spans="1:31" s="86" customFormat="1" ht="20.100000000000001" customHeight="1" thickBot="1" x14ac:dyDescent="0.3">
      <c r="A12" s="87"/>
      <c r="B12" s="87"/>
      <c r="C12" s="87"/>
      <c r="D12" s="87"/>
      <c r="E12" s="87"/>
      <c r="F12" s="87"/>
      <c r="G12" s="87"/>
      <c r="H12" s="87"/>
      <c r="I12" s="87"/>
      <c r="O12" s="357"/>
      <c r="P12" s="357"/>
      <c r="Q12" s="357"/>
      <c r="R12" s="298"/>
      <c r="S12" s="298"/>
      <c r="T12" s="85"/>
      <c r="U12" s="85"/>
      <c r="V12" s="85"/>
      <c r="W12" s="85"/>
      <c r="X12" s="85"/>
      <c r="Y12" s="85"/>
      <c r="Z12" s="85"/>
      <c r="AA12" s="85"/>
      <c r="AB12" s="85"/>
      <c r="AC12" s="85"/>
      <c r="AD12" s="85"/>
      <c r="AE12" s="85"/>
    </row>
    <row r="13" spans="1:31" ht="20.100000000000001" customHeight="1" thickBot="1" x14ac:dyDescent="0.3">
      <c r="A13" s="583" t="s">
        <v>61</v>
      </c>
      <c r="B13" s="584"/>
      <c r="C13" s="584"/>
      <c r="D13" s="585"/>
      <c r="E13" s="88"/>
      <c r="F13" s="89"/>
      <c r="G13" s="89"/>
      <c r="H13" s="563" t="s">
        <v>67</v>
      </c>
      <c r="I13" s="564"/>
      <c r="J13" s="564"/>
      <c r="K13" s="564"/>
      <c r="L13" s="564"/>
      <c r="M13" s="564"/>
      <c r="N13" s="564"/>
      <c r="O13" s="564"/>
      <c r="P13" s="564"/>
      <c r="Q13" s="565"/>
    </row>
    <row r="14" spans="1:31" ht="38.25" customHeight="1" thickBot="1" x14ac:dyDescent="0.3">
      <c r="A14" s="619" t="s">
        <v>63</v>
      </c>
      <c r="B14" s="620"/>
      <c r="C14" s="620"/>
      <c r="D14" s="620"/>
      <c r="E14" s="576" t="s">
        <v>11</v>
      </c>
      <c r="F14" s="577" t="s">
        <v>64</v>
      </c>
      <c r="G14" s="578"/>
      <c r="H14" s="561" t="s">
        <v>84</v>
      </c>
      <c r="I14" s="591"/>
      <c r="J14" s="591"/>
      <c r="K14" s="592"/>
      <c r="L14" s="561" t="s">
        <v>85</v>
      </c>
      <c r="M14" s="561"/>
      <c r="N14" s="561"/>
      <c r="O14" s="561"/>
      <c r="P14" s="562"/>
      <c r="Q14" s="559" t="s">
        <v>155</v>
      </c>
    </row>
    <row r="15" spans="1:31" ht="38.25" customHeight="1" thickBot="1" x14ac:dyDescent="0.3">
      <c r="A15" s="621"/>
      <c r="B15" s="622"/>
      <c r="C15" s="622"/>
      <c r="D15" s="622"/>
      <c r="E15" s="576"/>
      <c r="F15" s="90" t="s">
        <v>68</v>
      </c>
      <c r="G15" s="169" t="s">
        <v>69</v>
      </c>
      <c r="H15" s="167" t="s">
        <v>86</v>
      </c>
      <c r="I15" s="91" t="s">
        <v>87</v>
      </c>
      <c r="J15" s="91" t="s">
        <v>88</v>
      </c>
      <c r="K15" s="227" t="s">
        <v>1</v>
      </c>
      <c r="L15" s="128" t="s">
        <v>70</v>
      </c>
      <c r="M15" s="160" t="s">
        <v>71</v>
      </c>
      <c r="N15" s="160" t="s">
        <v>72</v>
      </c>
      <c r="O15" s="161" t="s">
        <v>159</v>
      </c>
      <c r="P15" s="166" t="s">
        <v>1</v>
      </c>
      <c r="Q15" s="560"/>
    </row>
    <row r="16" spans="1:31" ht="20.100000000000001" customHeight="1" x14ac:dyDescent="0.25">
      <c r="A16" s="581" t="s">
        <v>83</v>
      </c>
      <c r="B16" s="582"/>
      <c r="C16" s="577" t="s">
        <v>73</v>
      </c>
      <c r="D16" s="582"/>
      <c r="E16" s="170" t="s">
        <v>74</v>
      </c>
      <c r="F16" s="92">
        <v>60</v>
      </c>
      <c r="G16" s="164">
        <v>0</v>
      </c>
      <c r="H16" s="163">
        <v>0</v>
      </c>
      <c r="I16" s="92">
        <v>0</v>
      </c>
      <c r="J16" s="92">
        <v>0</v>
      </c>
      <c r="K16" s="228">
        <f>SUM(H16:J16)</f>
        <v>0</v>
      </c>
      <c r="L16" s="163">
        <v>9</v>
      </c>
      <c r="M16" s="92">
        <v>22</v>
      </c>
      <c r="N16" s="92">
        <v>17</v>
      </c>
      <c r="O16" s="93">
        <v>12</v>
      </c>
      <c r="P16" s="162">
        <f>SUM(L16:O16)</f>
        <v>60</v>
      </c>
      <c r="Q16" s="230">
        <f>SUM(K16,P16)</f>
        <v>60</v>
      </c>
    </row>
    <row r="17" spans="1:31" ht="20.100000000000001" customHeight="1" thickBot="1" x14ac:dyDescent="0.3">
      <c r="A17" s="628">
        <v>0</v>
      </c>
      <c r="B17" s="629"/>
      <c r="C17" s="630">
        <v>6</v>
      </c>
      <c r="D17" s="629"/>
      <c r="E17" s="171" t="s">
        <v>76</v>
      </c>
      <c r="F17" s="94">
        <v>64</v>
      </c>
      <c r="G17" s="165">
        <v>0</v>
      </c>
      <c r="H17" s="163">
        <v>0</v>
      </c>
      <c r="I17" s="94">
        <v>0</v>
      </c>
      <c r="J17" s="94">
        <v>0</v>
      </c>
      <c r="K17" s="228">
        <f>SUM(H17:J17)</f>
        <v>0</v>
      </c>
      <c r="L17" s="411">
        <v>11</v>
      </c>
      <c r="M17" s="412">
        <v>25</v>
      </c>
      <c r="N17" s="412">
        <v>20</v>
      </c>
      <c r="O17" s="413">
        <v>8</v>
      </c>
      <c r="P17" s="419">
        <f>SUM(L17:O17)</f>
        <v>64</v>
      </c>
      <c r="Q17" s="420">
        <f>SUM(K17,P17)</f>
        <v>64</v>
      </c>
    </row>
    <row r="18" spans="1:31" ht="20.100000000000001" customHeight="1" thickBot="1" x14ac:dyDescent="0.3">
      <c r="A18" s="625" t="s">
        <v>1</v>
      </c>
      <c r="B18" s="626"/>
      <c r="C18" s="626"/>
      <c r="D18" s="626"/>
      <c r="E18" s="627"/>
      <c r="F18" s="118">
        <f t="shared" ref="F18:Q18" si="0">SUM(F16:F17)</f>
        <v>124</v>
      </c>
      <c r="G18" s="118">
        <f t="shared" si="0"/>
        <v>0</v>
      </c>
      <c r="H18" s="118">
        <f t="shared" si="0"/>
        <v>0</v>
      </c>
      <c r="I18" s="118">
        <f t="shared" si="0"/>
        <v>0</v>
      </c>
      <c r="J18" s="118">
        <f t="shared" si="0"/>
        <v>0</v>
      </c>
      <c r="K18" s="117">
        <f t="shared" si="0"/>
        <v>0</v>
      </c>
      <c r="L18" s="168">
        <f t="shared" si="0"/>
        <v>20</v>
      </c>
      <c r="M18" s="118">
        <f t="shared" si="0"/>
        <v>47</v>
      </c>
      <c r="N18" s="118">
        <f t="shared" si="0"/>
        <v>37</v>
      </c>
      <c r="O18" s="118">
        <f t="shared" si="0"/>
        <v>20</v>
      </c>
      <c r="P18" s="119">
        <f t="shared" si="0"/>
        <v>124</v>
      </c>
      <c r="Q18" s="229">
        <f t="shared" si="0"/>
        <v>124</v>
      </c>
    </row>
    <row r="19" spans="1:31" ht="20.100000000000001" customHeight="1" thickBot="1" x14ac:dyDescent="0.3">
      <c r="A19" s="96"/>
      <c r="B19" s="96"/>
      <c r="C19" s="96"/>
      <c r="D19" s="96"/>
      <c r="E19" s="96"/>
      <c r="F19" s="97"/>
      <c r="G19" s="97"/>
      <c r="H19" s="97"/>
      <c r="I19" s="97"/>
      <c r="J19" s="97"/>
      <c r="K19" s="97"/>
      <c r="L19" s="97"/>
      <c r="M19" s="97"/>
      <c r="N19" s="84"/>
      <c r="O19" s="84"/>
      <c r="P19" s="84"/>
    </row>
    <row r="20" spans="1:31" ht="20.100000000000001" customHeight="1" thickBot="1" x14ac:dyDescent="0.3">
      <c r="A20" s="613" t="s">
        <v>62</v>
      </c>
      <c r="B20" s="613"/>
      <c r="C20" s="613"/>
      <c r="D20" s="613"/>
      <c r="E20" s="98"/>
      <c r="F20" s="97"/>
      <c r="G20" s="97"/>
      <c r="H20" s="97"/>
      <c r="I20" s="97"/>
      <c r="J20" s="97"/>
      <c r="K20" s="97"/>
      <c r="L20" s="97"/>
      <c r="M20" s="97"/>
      <c r="N20" s="97"/>
      <c r="O20" s="97"/>
      <c r="P20" s="97"/>
      <c r="Q20" s="89"/>
      <c r="R20" s="89"/>
      <c r="S20" s="89"/>
    </row>
    <row r="21" spans="1:31" ht="20.100000000000001" customHeight="1" thickBot="1" x14ac:dyDescent="0.3">
      <c r="A21" s="602" t="s">
        <v>65</v>
      </c>
      <c r="B21" s="602"/>
      <c r="C21" s="604" t="s">
        <v>66</v>
      </c>
      <c r="D21" s="604"/>
      <c r="E21" s="606" t="s">
        <v>11</v>
      </c>
      <c r="F21" s="579" t="s">
        <v>64</v>
      </c>
      <c r="G21" s="580"/>
      <c r="H21" s="618" t="s">
        <v>67</v>
      </c>
      <c r="I21" s="567"/>
      <c r="J21" s="567"/>
      <c r="K21" s="567"/>
      <c r="L21" s="567"/>
      <c r="M21" s="567"/>
      <c r="N21" s="567"/>
      <c r="O21" s="567"/>
      <c r="P21" s="567"/>
      <c r="Q21" s="567"/>
      <c r="R21" s="567"/>
      <c r="S21" s="568"/>
    </row>
    <row r="22" spans="1:31" ht="20.100000000000001" customHeight="1" thickBot="1" x14ac:dyDescent="0.3">
      <c r="A22" s="602"/>
      <c r="B22" s="602"/>
      <c r="C22" s="604"/>
      <c r="D22" s="604"/>
      <c r="E22" s="606"/>
      <c r="F22" s="99" t="s">
        <v>68</v>
      </c>
      <c r="G22" s="325" t="s">
        <v>69</v>
      </c>
      <c r="H22" s="383">
        <v>5</v>
      </c>
      <c r="I22" s="384">
        <v>6</v>
      </c>
      <c r="J22" s="384">
        <v>7</v>
      </c>
      <c r="K22" s="384">
        <v>8</v>
      </c>
      <c r="L22" s="384">
        <v>9</v>
      </c>
      <c r="M22" s="384">
        <v>10</v>
      </c>
      <c r="N22" s="384">
        <v>11</v>
      </c>
      <c r="O22" s="384">
        <v>12</v>
      </c>
      <c r="P22" s="384">
        <v>13</v>
      </c>
      <c r="Q22" s="384">
        <v>14</v>
      </c>
      <c r="R22" s="385">
        <v>15</v>
      </c>
      <c r="S22" s="390" t="s">
        <v>1</v>
      </c>
    </row>
    <row r="23" spans="1:31" ht="20.100000000000001" customHeight="1" thickBot="1" x14ac:dyDescent="0.3">
      <c r="A23" s="588" t="s">
        <v>75</v>
      </c>
      <c r="B23" s="588"/>
      <c r="C23" s="586">
        <v>2</v>
      </c>
      <c r="D23" s="586"/>
      <c r="E23" s="100" t="s">
        <v>74</v>
      </c>
      <c r="F23" s="101">
        <v>28</v>
      </c>
      <c r="G23" s="326"/>
      <c r="H23" s="316"/>
      <c r="I23" s="101">
        <v>17</v>
      </c>
      <c r="J23" s="101">
        <v>11</v>
      </c>
      <c r="K23" s="101"/>
      <c r="L23" s="101"/>
      <c r="M23" s="101"/>
      <c r="N23" s="102"/>
      <c r="O23" s="102"/>
      <c r="P23" s="102"/>
      <c r="Q23" s="102"/>
      <c r="R23" s="103"/>
      <c r="S23" s="120">
        <f>SUM(H23:R23)</f>
        <v>28</v>
      </c>
    </row>
    <row r="24" spans="1:31" ht="20.100000000000001" customHeight="1" thickBot="1" x14ac:dyDescent="0.3">
      <c r="A24" s="588"/>
      <c r="B24" s="588"/>
      <c r="C24" s="586"/>
      <c r="D24" s="586"/>
      <c r="E24" s="104" t="s">
        <v>76</v>
      </c>
      <c r="F24" s="105">
        <v>25</v>
      </c>
      <c r="G24" s="327"/>
      <c r="H24" s="317"/>
      <c r="I24" s="105">
        <v>14</v>
      </c>
      <c r="J24" s="105">
        <v>11</v>
      </c>
      <c r="K24" s="105"/>
      <c r="L24" s="105"/>
      <c r="M24" s="105"/>
      <c r="N24" s="106"/>
      <c r="O24" s="106"/>
      <c r="P24" s="106"/>
      <c r="Q24" s="106"/>
      <c r="R24" s="107"/>
      <c r="S24" s="121">
        <f t="shared" ref="S24:S34" si="1">SUM(H24:R24)</f>
        <v>25</v>
      </c>
    </row>
    <row r="25" spans="1:31" ht="20.100000000000001" customHeight="1" thickBot="1" x14ac:dyDescent="0.3">
      <c r="A25" s="588" t="s">
        <v>77</v>
      </c>
      <c r="B25" s="588"/>
      <c r="C25" s="586">
        <v>2</v>
      </c>
      <c r="D25" s="586"/>
      <c r="E25" s="100" t="s">
        <v>74</v>
      </c>
      <c r="F25" s="408">
        <v>30</v>
      </c>
      <c r="G25" s="326"/>
      <c r="H25" s="318"/>
      <c r="I25" s="101"/>
      <c r="J25" s="101">
        <v>21</v>
      </c>
      <c r="K25" s="101">
        <v>8</v>
      </c>
      <c r="L25" s="101">
        <v>1</v>
      </c>
      <c r="M25" s="101"/>
      <c r="N25" s="102"/>
      <c r="O25" s="102"/>
      <c r="P25" s="102"/>
      <c r="Q25" s="102"/>
      <c r="R25" s="103"/>
      <c r="S25" s="120">
        <f t="shared" si="1"/>
        <v>30</v>
      </c>
    </row>
    <row r="26" spans="1:31" ht="20.100000000000001" customHeight="1" thickBot="1" x14ac:dyDescent="0.3">
      <c r="A26" s="588"/>
      <c r="B26" s="588"/>
      <c r="C26" s="586"/>
      <c r="D26" s="586"/>
      <c r="E26" s="104" t="s">
        <v>76</v>
      </c>
      <c r="F26" s="417">
        <v>32</v>
      </c>
      <c r="G26" s="327"/>
      <c r="H26" s="319"/>
      <c r="I26" s="105"/>
      <c r="J26" s="105">
        <v>18</v>
      </c>
      <c r="K26" s="105">
        <v>14</v>
      </c>
      <c r="L26" s="105"/>
      <c r="M26" s="105"/>
      <c r="N26" s="106"/>
      <c r="O26" s="106"/>
      <c r="P26" s="106"/>
      <c r="Q26" s="106"/>
      <c r="R26" s="107"/>
      <c r="S26" s="121">
        <f t="shared" si="1"/>
        <v>32</v>
      </c>
    </row>
    <row r="27" spans="1:31" s="62" customFormat="1" ht="20.100000000000001" customHeight="1" thickBot="1" x14ac:dyDescent="0.3">
      <c r="A27" s="588" t="s">
        <v>78</v>
      </c>
      <c r="B27" s="588"/>
      <c r="C27" s="586">
        <v>2</v>
      </c>
      <c r="D27" s="586"/>
      <c r="E27" s="100" t="s">
        <v>74</v>
      </c>
      <c r="F27" s="408">
        <v>23</v>
      </c>
      <c r="G27" s="326"/>
      <c r="H27" s="318"/>
      <c r="I27" s="220"/>
      <c r="J27" s="101"/>
      <c r="K27" s="101">
        <v>10</v>
      </c>
      <c r="L27" s="101">
        <v>12</v>
      </c>
      <c r="M27" s="101">
        <v>1</v>
      </c>
      <c r="N27" s="102"/>
      <c r="O27" s="102"/>
      <c r="P27" s="102"/>
      <c r="Q27" s="102"/>
      <c r="R27" s="103"/>
      <c r="S27" s="120">
        <f t="shared" si="1"/>
        <v>23</v>
      </c>
      <c r="T27" s="108"/>
      <c r="U27" s="108"/>
      <c r="V27" s="108"/>
      <c r="W27" s="108"/>
      <c r="X27" s="108"/>
      <c r="Y27" s="108"/>
      <c r="Z27" s="108"/>
      <c r="AA27" s="108"/>
      <c r="AB27" s="108"/>
      <c r="AC27" s="108"/>
      <c r="AD27" s="108"/>
      <c r="AE27" s="108"/>
    </row>
    <row r="28" spans="1:31" s="62" customFormat="1" ht="20.100000000000001" customHeight="1" thickBot="1" x14ac:dyDescent="0.3">
      <c r="A28" s="588"/>
      <c r="B28" s="588"/>
      <c r="C28" s="586"/>
      <c r="D28" s="586"/>
      <c r="E28" s="104" t="s">
        <v>76</v>
      </c>
      <c r="F28" s="417">
        <v>27</v>
      </c>
      <c r="G28" s="327"/>
      <c r="H28" s="319"/>
      <c r="I28" s="221"/>
      <c r="J28" s="105"/>
      <c r="K28" s="105">
        <v>10</v>
      </c>
      <c r="L28" s="105">
        <v>12</v>
      </c>
      <c r="M28" s="105">
        <v>5</v>
      </c>
      <c r="N28" s="106"/>
      <c r="O28" s="106"/>
      <c r="P28" s="106"/>
      <c r="Q28" s="106"/>
      <c r="R28" s="107"/>
      <c r="S28" s="121">
        <f t="shared" si="1"/>
        <v>27</v>
      </c>
      <c r="T28" s="108"/>
      <c r="U28" s="108"/>
      <c r="V28" s="108"/>
      <c r="W28" s="108"/>
      <c r="X28" s="108"/>
      <c r="Y28" s="108"/>
      <c r="Z28" s="108"/>
      <c r="AA28" s="108"/>
      <c r="AB28" s="108"/>
      <c r="AC28" s="108"/>
      <c r="AD28" s="108"/>
      <c r="AE28" s="108"/>
    </row>
    <row r="29" spans="1:31" s="62" customFormat="1" ht="20.100000000000001" customHeight="1" thickBot="1" x14ac:dyDescent="0.3">
      <c r="A29" s="588" t="s">
        <v>79</v>
      </c>
      <c r="B29" s="588"/>
      <c r="C29" s="586">
        <v>2</v>
      </c>
      <c r="D29" s="586"/>
      <c r="E29" s="100" t="s">
        <v>74</v>
      </c>
      <c r="F29" s="408">
        <v>31</v>
      </c>
      <c r="G29" s="326"/>
      <c r="H29" s="318"/>
      <c r="I29" s="220"/>
      <c r="J29" s="220"/>
      <c r="K29" s="101">
        <v>3</v>
      </c>
      <c r="L29" s="101">
        <v>20</v>
      </c>
      <c r="M29" s="101">
        <v>6</v>
      </c>
      <c r="N29" s="102">
        <v>1</v>
      </c>
      <c r="O29" s="102">
        <v>1</v>
      </c>
      <c r="P29" s="102"/>
      <c r="Q29" s="102"/>
      <c r="R29" s="103"/>
      <c r="S29" s="120">
        <f t="shared" si="1"/>
        <v>31</v>
      </c>
      <c r="T29" s="108"/>
      <c r="U29" s="108"/>
      <c r="V29" s="108"/>
      <c r="W29" s="108"/>
      <c r="X29" s="108"/>
      <c r="Y29" s="108"/>
      <c r="Z29" s="108"/>
      <c r="AA29" s="108"/>
      <c r="AB29" s="108"/>
      <c r="AC29" s="108"/>
      <c r="AD29" s="108"/>
      <c r="AE29" s="108"/>
    </row>
    <row r="30" spans="1:31" s="62" customFormat="1" ht="20.100000000000001" customHeight="1" thickBot="1" x14ac:dyDescent="0.3">
      <c r="A30" s="588"/>
      <c r="B30" s="588"/>
      <c r="C30" s="586"/>
      <c r="D30" s="586"/>
      <c r="E30" s="104" t="s">
        <v>76</v>
      </c>
      <c r="F30" s="417">
        <v>26</v>
      </c>
      <c r="G30" s="327"/>
      <c r="H30" s="319"/>
      <c r="I30" s="221"/>
      <c r="J30" s="221"/>
      <c r="K30" s="105">
        <v>1</v>
      </c>
      <c r="L30" s="105">
        <v>15</v>
      </c>
      <c r="M30" s="105">
        <v>9</v>
      </c>
      <c r="N30" s="106">
        <v>1</v>
      </c>
      <c r="O30" s="106"/>
      <c r="P30" s="106"/>
      <c r="Q30" s="106"/>
      <c r="R30" s="107"/>
      <c r="S30" s="421">
        <f t="shared" si="1"/>
        <v>26</v>
      </c>
      <c r="T30" s="108"/>
      <c r="U30" s="108"/>
      <c r="V30" s="108"/>
      <c r="W30" s="108"/>
      <c r="X30" s="108"/>
      <c r="Y30" s="108"/>
      <c r="Z30" s="108"/>
      <c r="AA30" s="108"/>
      <c r="AB30" s="108"/>
      <c r="AC30" s="108"/>
      <c r="AD30" s="108"/>
      <c r="AE30" s="108"/>
    </row>
    <row r="31" spans="1:31" s="62" customFormat="1" ht="20.100000000000001" customHeight="1" thickBot="1" x14ac:dyDescent="0.3">
      <c r="A31" s="588" t="s">
        <v>80</v>
      </c>
      <c r="B31" s="588"/>
      <c r="C31" s="586">
        <v>2</v>
      </c>
      <c r="D31" s="586"/>
      <c r="E31" s="100" t="s">
        <v>74</v>
      </c>
      <c r="F31" s="408">
        <v>29</v>
      </c>
      <c r="G31" s="326"/>
      <c r="H31" s="318"/>
      <c r="I31" s="220"/>
      <c r="J31" s="220"/>
      <c r="K31" s="220"/>
      <c r="L31" s="101"/>
      <c r="M31" s="101">
        <v>11</v>
      </c>
      <c r="N31" s="102">
        <v>14</v>
      </c>
      <c r="O31" s="102">
        <v>3</v>
      </c>
      <c r="P31" s="102">
        <v>1</v>
      </c>
      <c r="Q31" s="102"/>
      <c r="R31" s="103"/>
      <c r="S31" s="418">
        <f t="shared" si="1"/>
        <v>29</v>
      </c>
      <c r="T31" s="108"/>
      <c r="U31" s="108"/>
      <c r="V31" s="108"/>
      <c r="W31" s="108"/>
      <c r="X31" s="108"/>
      <c r="Y31" s="108"/>
      <c r="Z31" s="108"/>
      <c r="AA31" s="108"/>
      <c r="AB31" s="108"/>
      <c r="AC31" s="108"/>
      <c r="AD31" s="108"/>
      <c r="AE31" s="108"/>
    </row>
    <row r="32" spans="1:31" s="62" customFormat="1" ht="20.100000000000001" customHeight="1" thickBot="1" x14ac:dyDescent="0.3">
      <c r="A32" s="616"/>
      <c r="B32" s="616"/>
      <c r="C32" s="617"/>
      <c r="D32" s="617"/>
      <c r="E32" s="104" t="s">
        <v>76</v>
      </c>
      <c r="F32" s="417">
        <v>32</v>
      </c>
      <c r="G32" s="327"/>
      <c r="H32" s="319"/>
      <c r="I32" s="221"/>
      <c r="J32" s="221"/>
      <c r="K32" s="221"/>
      <c r="L32" s="105"/>
      <c r="M32" s="105">
        <v>13</v>
      </c>
      <c r="N32" s="106">
        <v>16</v>
      </c>
      <c r="O32" s="106">
        <v>3</v>
      </c>
      <c r="P32" s="106"/>
      <c r="Q32" s="106"/>
      <c r="R32" s="107"/>
      <c r="S32" s="421">
        <f t="shared" si="1"/>
        <v>32</v>
      </c>
      <c r="T32" s="108"/>
      <c r="U32" s="108"/>
      <c r="V32" s="108"/>
      <c r="W32" s="108"/>
      <c r="X32" s="108"/>
      <c r="Y32" s="108"/>
      <c r="Z32" s="108"/>
      <c r="AA32" s="108"/>
      <c r="AB32" s="108"/>
      <c r="AC32" s="108"/>
      <c r="AD32" s="108"/>
      <c r="AE32" s="108"/>
    </row>
    <row r="33" spans="1:31" s="62" customFormat="1" ht="20.100000000000001" customHeight="1" x14ac:dyDescent="0.25">
      <c r="A33" s="623" t="s">
        <v>81</v>
      </c>
      <c r="B33" s="623"/>
      <c r="C33" s="593">
        <v>2</v>
      </c>
      <c r="D33" s="593"/>
      <c r="E33" s="272" t="s">
        <v>74</v>
      </c>
      <c r="F33" s="273">
        <v>26</v>
      </c>
      <c r="G33" s="328"/>
      <c r="H33" s="320"/>
      <c r="I33" s="274"/>
      <c r="J33" s="274"/>
      <c r="K33" s="274"/>
      <c r="L33" s="274"/>
      <c r="M33" s="273"/>
      <c r="N33" s="275">
        <v>12</v>
      </c>
      <c r="O33" s="275">
        <v>12</v>
      </c>
      <c r="P33" s="275">
        <v>1</v>
      </c>
      <c r="Q33" s="275">
        <v>1</v>
      </c>
      <c r="R33" s="276"/>
      <c r="S33" s="277">
        <f t="shared" si="1"/>
        <v>26</v>
      </c>
      <c r="T33" s="108"/>
      <c r="U33" s="108"/>
      <c r="V33" s="108"/>
      <c r="W33" s="108"/>
      <c r="X33" s="108"/>
      <c r="Y33" s="108"/>
      <c r="Z33" s="108"/>
      <c r="AA33" s="108"/>
      <c r="AB33" s="108"/>
      <c r="AC33" s="108"/>
      <c r="AD33" s="108"/>
      <c r="AE33" s="108"/>
    </row>
    <row r="34" spans="1:31" s="62" customFormat="1" ht="20.100000000000001" customHeight="1" thickBot="1" x14ac:dyDescent="0.3">
      <c r="A34" s="624"/>
      <c r="B34" s="624"/>
      <c r="C34" s="594"/>
      <c r="D34" s="594"/>
      <c r="E34" s="279" t="s">
        <v>76</v>
      </c>
      <c r="F34" s="280">
        <v>30</v>
      </c>
      <c r="G34" s="329"/>
      <c r="H34" s="321"/>
      <c r="I34" s="281"/>
      <c r="J34" s="281"/>
      <c r="K34" s="281"/>
      <c r="L34" s="281"/>
      <c r="M34" s="280"/>
      <c r="N34" s="282">
        <v>13</v>
      </c>
      <c r="O34" s="282">
        <v>15</v>
      </c>
      <c r="P34" s="282">
        <v>2</v>
      </c>
      <c r="Q34" s="282"/>
      <c r="R34" s="283"/>
      <c r="S34" s="284">
        <f t="shared" si="1"/>
        <v>30</v>
      </c>
      <c r="T34" s="108"/>
      <c r="U34" s="108"/>
      <c r="V34" s="108"/>
      <c r="W34" s="108"/>
      <c r="X34" s="108"/>
      <c r="Y34" s="108"/>
      <c r="Z34" s="108"/>
      <c r="AA34" s="108"/>
      <c r="AB34" s="108"/>
      <c r="AC34" s="108"/>
      <c r="AD34" s="108"/>
      <c r="AE34" s="108"/>
    </row>
    <row r="35" spans="1:31" s="62" customFormat="1" ht="20.100000000000001" customHeight="1" x14ac:dyDescent="0.25">
      <c r="A35" s="607" t="s">
        <v>179</v>
      </c>
      <c r="B35" s="608"/>
      <c r="C35" s="608"/>
      <c r="D35" s="609"/>
      <c r="E35" s="285" t="s">
        <v>74</v>
      </c>
      <c r="F35" s="288">
        <f>SUM(F23,F25,F27,F29,F31,F33)</f>
        <v>167</v>
      </c>
      <c r="G35" s="330">
        <f>SUM(G23,G25,G27,G29,G31,G33)</f>
        <v>0</v>
      </c>
      <c r="H35" s="322">
        <f t="shared" ref="H35:R35" si="2">SUM(H23,H25,H27,H29,H31,H33)</f>
        <v>0</v>
      </c>
      <c r="I35" s="288">
        <f t="shared" si="2"/>
        <v>17</v>
      </c>
      <c r="J35" s="288">
        <f t="shared" si="2"/>
        <v>32</v>
      </c>
      <c r="K35" s="288">
        <f t="shared" si="2"/>
        <v>21</v>
      </c>
      <c r="L35" s="288">
        <f t="shared" si="2"/>
        <v>33</v>
      </c>
      <c r="M35" s="288">
        <f t="shared" si="2"/>
        <v>18</v>
      </c>
      <c r="N35" s="288">
        <f t="shared" si="2"/>
        <v>27</v>
      </c>
      <c r="O35" s="288">
        <f t="shared" si="2"/>
        <v>16</v>
      </c>
      <c r="P35" s="288">
        <f t="shared" si="2"/>
        <v>2</v>
      </c>
      <c r="Q35" s="288">
        <f t="shared" si="2"/>
        <v>1</v>
      </c>
      <c r="R35" s="288">
        <f t="shared" si="2"/>
        <v>0</v>
      </c>
      <c r="S35" s="290">
        <f>SUM(S23,S25,S27,S29,S31,S33)</f>
        <v>167</v>
      </c>
      <c r="T35" s="108"/>
      <c r="U35" s="108"/>
      <c r="V35" s="108"/>
      <c r="W35" s="108"/>
      <c r="X35" s="108"/>
      <c r="Y35" s="108"/>
      <c r="Z35" s="108"/>
      <c r="AA35" s="108"/>
      <c r="AB35" s="108"/>
      <c r="AC35" s="108"/>
      <c r="AD35" s="108"/>
      <c r="AE35" s="108"/>
    </row>
    <row r="36" spans="1:31" s="62" customFormat="1" ht="20.100000000000001" customHeight="1" thickBot="1" x14ac:dyDescent="0.3">
      <c r="A36" s="610"/>
      <c r="B36" s="611"/>
      <c r="C36" s="611"/>
      <c r="D36" s="612"/>
      <c r="E36" s="286" t="s">
        <v>76</v>
      </c>
      <c r="F36" s="289">
        <f>SUM(F24,F26,F28,F30,F32,F34)</f>
        <v>172</v>
      </c>
      <c r="G36" s="331">
        <f>SUM(G24,G26,G28,G30,G32,G34)</f>
        <v>0</v>
      </c>
      <c r="H36" s="323">
        <f t="shared" ref="H36:R36" si="3">SUM(H24,H26,H28,H30,H32,H34)</f>
        <v>0</v>
      </c>
      <c r="I36" s="289">
        <f t="shared" si="3"/>
        <v>14</v>
      </c>
      <c r="J36" s="289">
        <f t="shared" si="3"/>
        <v>29</v>
      </c>
      <c r="K36" s="289">
        <f t="shared" si="3"/>
        <v>25</v>
      </c>
      <c r="L36" s="289">
        <f t="shared" si="3"/>
        <v>27</v>
      </c>
      <c r="M36" s="289">
        <f t="shared" si="3"/>
        <v>27</v>
      </c>
      <c r="N36" s="289">
        <f t="shared" si="3"/>
        <v>30</v>
      </c>
      <c r="O36" s="289">
        <f t="shared" si="3"/>
        <v>18</v>
      </c>
      <c r="P36" s="289">
        <f t="shared" si="3"/>
        <v>2</v>
      </c>
      <c r="Q36" s="289">
        <f t="shared" si="3"/>
        <v>0</v>
      </c>
      <c r="R36" s="289">
        <f t="shared" si="3"/>
        <v>0</v>
      </c>
      <c r="S36" s="287">
        <f>SUM(S24,S26,S28,S30,S32,S34)</f>
        <v>172</v>
      </c>
      <c r="T36" s="108"/>
      <c r="U36" s="108"/>
      <c r="V36" s="108"/>
      <c r="W36" s="108"/>
      <c r="X36" s="108"/>
      <c r="Y36" s="108"/>
      <c r="Z36" s="108"/>
      <c r="AA36" s="108"/>
      <c r="AB36" s="108"/>
      <c r="AC36" s="108"/>
      <c r="AD36" s="108"/>
      <c r="AE36" s="108"/>
    </row>
    <row r="37" spans="1:31" s="62" customFormat="1" ht="20.100000000000001" customHeight="1" thickBot="1" x14ac:dyDescent="0.3">
      <c r="A37" s="595" t="s">
        <v>1</v>
      </c>
      <c r="B37" s="595"/>
      <c r="C37" s="595"/>
      <c r="D37" s="595"/>
      <c r="E37" s="595"/>
      <c r="F37" s="278">
        <f>SUM(F35:F36)</f>
        <v>339</v>
      </c>
      <c r="G37" s="332">
        <f t="shared" ref="G37:S37" si="4">SUM(G35:G36)</f>
        <v>0</v>
      </c>
      <c r="H37" s="324">
        <f t="shared" si="4"/>
        <v>0</v>
      </c>
      <c r="I37" s="278">
        <f t="shared" si="4"/>
        <v>31</v>
      </c>
      <c r="J37" s="278">
        <f t="shared" si="4"/>
        <v>61</v>
      </c>
      <c r="K37" s="278">
        <f t="shared" si="4"/>
        <v>46</v>
      </c>
      <c r="L37" s="278">
        <f t="shared" si="4"/>
        <v>60</v>
      </c>
      <c r="M37" s="278">
        <f t="shared" si="4"/>
        <v>45</v>
      </c>
      <c r="N37" s="278">
        <f t="shared" si="4"/>
        <v>57</v>
      </c>
      <c r="O37" s="278">
        <f t="shared" si="4"/>
        <v>34</v>
      </c>
      <c r="P37" s="278">
        <f t="shared" si="4"/>
        <v>4</v>
      </c>
      <c r="Q37" s="278">
        <f t="shared" si="4"/>
        <v>1</v>
      </c>
      <c r="R37" s="278">
        <f t="shared" si="4"/>
        <v>0</v>
      </c>
      <c r="S37" s="315">
        <f t="shared" si="4"/>
        <v>339</v>
      </c>
      <c r="T37" s="108"/>
      <c r="U37" s="108"/>
      <c r="V37" s="108"/>
      <c r="W37" s="108"/>
      <c r="X37" s="108"/>
      <c r="Y37" s="108"/>
      <c r="Z37" s="108"/>
      <c r="AA37" s="108"/>
      <c r="AB37" s="108"/>
      <c r="AC37" s="108"/>
      <c r="AD37" s="108"/>
      <c r="AE37" s="108"/>
    </row>
    <row r="38" spans="1:31" s="62" customFormat="1" ht="20.100000000000001" customHeight="1" thickBot="1" x14ac:dyDescent="0.3">
      <c r="A38" s="122"/>
      <c r="B38" s="122"/>
      <c r="C38" s="122"/>
      <c r="D38" s="122"/>
      <c r="E38" s="122"/>
      <c r="F38" s="123"/>
      <c r="G38" s="123"/>
      <c r="H38" s="123"/>
      <c r="I38" s="123"/>
      <c r="J38" s="123"/>
      <c r="K38" s="123"/>
      <c r="L38" s="123"/>
      <c r="M38" s="123"/>
      <c r="N38" s="124"/>
      <c r="O38" s="124"/>
      <c r="P38" s="124"/>
      <c r="Q38" s="124"/>
      <c r="R38" s="124"/>
      <c r="S38" s="108"/>
      <c r="T38" s="108"/>
      <c r="U38" s="108"/>
      <c r="V38" s="108"/>
      <c r="W38" s="108"/>
      <c r="X38" s="108"/>
      <c r="Y38" s="108"/>
      <c r="Z38" s="108"/>
      <c r="AA38" s="108"/>
      <c r="AB38" s="108"/>
      <c r="AC38" s="108"/>
      <c r="AD38" s="108"/>
      <c r="AE38" s="108"/>
    </row>
    <row r="39" spans="1:31" ht="20.100000000000001" customHeight="1" thickBot="1" x14ac:dyDescent="0.3">
      <c r="A39" s="596" t="s">
        <v>82</v>
      </c>
      <c r="B39" s="597"/>
      <c r="C39" s="597"/>
      <c r="D39" s="597"/>
      <c r="E39" s="598"/>
      <c r="F39" s="89"/>
      <c r="G39" s="89"/>
      <c r="H39" s="89"/>
      <c r="I39" s="89"/>
      <c r="J39" s="89"/>
      <c r="K39" s="89"/>
      <c r="L39" s="89"/>
      <c r="M39" s="89"/>
      <c r="N39" s="89"/>
      <c r="O39" s="89"/>
      <c r="P39" s="89"/>
      <c r="Q39" s="89"/>
      <c r="R39" s="89"/>
      <c r="S39" s="89"/>
      <c r="T39" s="88"/>
      <c r="U39" s="88"/>
      <c r="V39" s="88"/>
      <c r="W39" s="88"/>
      <c r="X39" s="88"/>
      <c r="Y39" s="88"/>
      <c r="Z39" s="88"/>
      <c r="AA39" s="88"/>
      <c r="AB39" s="88"/>
      <c r="AC39" s="88"/>
      <c r="AD39" s="88"/>
      <c r="AE39" s="88"/>
    </row>
    <row r="40" spans="1:31" ht="20.100000000000001" customHeight="1" thickBot="1" x14ac:dyDescent="0.3">
      <c r="A40" s="599" t="s">
        <v>110</v>
      </c>
      <c r="B40" s="600"/>
      <c r="C40" s="603" t="s">
        <v>66</v>
      </c>
      <c r="D40" s="603"/>
      <c r="E40" s="605" t="s">
        <v>11</v>
      </c>
      <c r="F40" s="589" t="s">
        <v>64</v>
      </c>
      <c r="G40" s="590"/>
      <c r="H40" s="566" t="s">
        <v>67</v>
      </c>
      <c r="I40" s="567"/>
      <c r="J40" s="567"/>
      <c r="K40" s="567"/>
      <c r="L40" s="567"/>
      <c r="M40" s="567"/>
      <c r="N40" s="567"/>
      <c r="O40" s="567"/>
      <c r="P40" s="567"/>
      <c r="Q40" s="567"/>
      <c r="R40" s="567"/>
      <c r="S40" s="568"/>
      <c r="T40" s="88"/>
      <c r="U40" s="88"/>
      <c r="V40" s="88"/>
    </row>
    <row r="41" spans="1:31" ht="20.100000000000001" customHeight="1" thickBot="1" x14ac:dyDescent="0.3">
      <c r="A41" s="601"/>
      <c r="B41" s="602"/>
      <c r="C41" s="604"/>
      <c r="D41" s="604"/>
      <c r="E41" s="606"/>
      <c r="F41" s="113" t="s">
        <v>68</v>
      </c>
      <c r="G41" s="338" t="s">
        <v>69</v>
      </c>
      <c r="H41" s="386">
        <v>11</v>
      </c>
      <c r="I41" s="387">
        <v>12</v>
      </c>
      <c r="J41" s="387">
        <v>13</v>
      </c>
      <c r="K41" s="387">
        <v>14</v>
      </c>
      <c r="L41" s="387">
        <v>15</v>
      </c>
      <c r="M41" s="387">
        <v>16</v>
      </c>
      <c r="N41" s="387">
        <v>17</v>
      </c>
      <c r="O41" s="387">
        <v>18</v>
      </c>
      <c r="P41" s="387">
        <v>19</v>
      </c>
      <c r="Q41" s="387">
        <v>20</v>
      </c>
      <c r="R41" s="388" t="s">
        <v>89</v>
      </c>
      <c r="S41" s="389" t="s">
        <v>1</v>
      </c>
      <c r="T41" s="88"/>
      <c r="U41" s="88"/>
      <c r="V41" s="88"/>
    </row>
    <row r="42" spans="1:31" ht="20.100000000000001" customHeight="1" thickBot="1" x14ac:dyDescent="0.3">
      <c r="A42" s="587" t="s">
        <v>75</v>
      </c>
      <c r="B42" s="588"/>
      <c r="C42" s="586">
        <v>5</v>
      </c>
      <c r="D42" s="586"/>
      <c r="E42" s="100" t="s">
        <v>74</v>
      </c>
      <c r="F42" s="101">
        <v>73</v>
      </c>
      <c r="G42" s="339"/>
      <c r="H42" s="316"/>
      <c r="I42" s="101">
        <v>22</v>
      </c>
      <c r="J42" s="101">
        <v>38</v>
      </c>
      <c r="K42" s="101">
        <v>12</v>
      </c>
      <c r="L42" s="101">
        <v>1</v>
      </c>
      <c r="M42" s="101"/>
      <c r="N42" s="102"/>
      <c r="O42" s="102"/>
      <c r="P42" s="102"/>
      <c r="Q42" s="102"/>
      <c r="R42" s="103"/>
      <c r="S42" s="172">
        <f t="shared" ref="S42:S53" si="5">SUM(H42:R42)</f>
        <v>73</v>
      </c>
      <c r="T42" s="88"/>
      <c r="U42" s="88"/>
      <c r="V42" s="88"/>
    </row>
    <row r="43" spans="1:31" ht="20.100000000000001" customHeight="1" thickBot="1" x14ac:dyDescent="0.3">
      <c r="A43" s="587"/>
      <c r="B43" s="588"/>
      <c r="C43" s="586"/>
      <c r="D43" s="586"/>
      <c r="E43" s="104" t="s">
        <v>76</v>
      </c>
      <c r="F43" s="105">
        <v>77</v>
      </c>
      <c r="G43" s="340"/>
      <c r="H43" s="317"/>
      <c r="I43" s="105">
        <v>36</v>
      </c>
      <c r="J43" s="105">
        <v>33</v>
      </c>
      <c r="K43" s="105">
        <v>5</v>
      </c>
      <c r="L43" s="105">
        <v>2</v>
      </c>
      <c r="M43" s="105">
        <v>1</v>
      </c>
      <c r="N43" s="106"/>
      <c r="O43" s="106"/>
      <c r="P43" s="106"/>
      <c r="Q43" s="106"/>
      <c r="R43" s="107"/>
      <c r="S43" s="173">
        <f t="shared" si="5"/>
        <v>77</v>
      </c>
      <c r="T43" s="88"/>
      <c r="U43" s="88"/>
      <c r="V43" s="88"/>
    </row>
    <row r="44" spans="1:31" ht="20.100000000000001" customHeight="1" thickBot="1" x14ac:dyDescent="0.3">
      <c r="A44" s="587" t="s">
        <v>77</v>
      </c>
      <c r="B44" s="588"/>
      <c r="C44" s="586">
        <v>4</v>
      </c>
      <c r="D44" s="586"/>
      <c r="E44" s="100" t="s">
        <v>74</v>
      </c>
      <c r="F44" s="101">
        <v>74</v>
      </c>
      <c r="G44" s="339"/>
      <c r="H44" s="333"/>
      <c r="I44" s="101"/>
      <c r="J44" s="101">
        <v>31</v>
      </c>
      <c r="K44" s="101">
        <v>30</v>
      </c>
      <c r="L44" s="101">
        <v>7</v>
      </c>
      <c r="M44" s="102">
        <v>3</v>
      </c>
      <c r="N44" s="102">
        <v>2</v>
      </c>
      <c r="O44" s="102">
        <v>1</v>
      </c>
      <c r="P44" s="102"/>
      <c r="Q44" s="102"/>
      <c r="R44" s="103"/>
      <c r="S44" s="172">
        <f t="shared" si="5"/>
        <v>74</v>
      </c>
      <c r="T44" s="88"/>
      <c r="U44" s="88"/>
      <c r="V44" s="88"/>
    </row>
    <row r="45" spans="1:31" ht="20.100000000000001" customHeight="1" thickBot="1" x14ac:dyDescent="0.3">
      <c r="A45" s="587"/>
      <c r="B45" s="588"/>
      <c r="C45" s="586"/>
      <c r="D45" s="586"/>
      <c r="E45" s="104" t="s">
        <v>76</v>
      </c>
      <c r="F45" s="105">
        <v>58</v>
      </c>
      <c r="G45" s="340"/>
      <c r="H45" s="334"/>
      <c r="I45" s="105"/>
      <c r="J45" s="105">
        <v>27</v>
      </c>
      <c r="K45" s="105">
        <v>27</v>
      </c>
      <c r="L45" s="105">
        <v>3</v>
      </c>
      <c r="M45" s="106">
        <v>1</v>
      </c>
      <c r="N45" s="106"/>
      <c r="O45" s="106"/>
      <c r="P45" s="106"/>
      <c r="Q45" s="106"/>
      <c r="R45" s="107"/>
      <c r="S45" s="173">
        <f t="shared" si="5"/>
        <v>58</v>
      </c>
      <c r="T45" s="88"/>
      <c r="U45" s="88"/>
      <c r="V45" s="88"/>
    </row>
    <row r="46" spans="1:31" ht="20.100000000000001" customHeight="1" thickBot="1" x14ac:dyDescent="0.3">
      <c r="A46" s="587" t="s">
        <v>78</v>
      </c>
      <c r="B46" s="588"/>
      <c r="C46" s="586">
        <v>4</v>
      </c>
      <c r="D46" s="586"/>
      <c r="E46" s="100" t="s">
        <v>74</v>
      </c>
      <c r="F46" s="101">
        <v>75</v>
      </c>
      <c r="G46" s="339"/>
      <c r="H46" s="333"/>
      <c r="I46" s="226"/>
      <c r="J46" s="101"/>
      <c r="K46" s="101">
        <v>35</v>
      </c>
      <c r="L46" s="101">
        <v>31</v>
      </c>
      <c r="M46" s="101">
        <v>7</v>
      </c>
      <c r="N46" s="102">
        <v>1</v>
      </c>
      <c r="O46" s="102">
        <v>1</v>
      </c>
      <c r="P46" s="102"/>
      <c r="Q46" s="102"/>
      <c r="R46" s="103"/>
      <c r="S46" s="172">
        <f t="shared" si="5"/>
        <v>75</v>
      </c>
      <c r="T46" s="88"/>
      <c r="U46" s="88"/>
      <c r="V46" s="88"/>
    </row>
    <row r="47" spans="1:31" ht="20.100000000000001" customHeight="1" thickBot="1" x14ac:dyDescent="0.3">
      <c r="A47" s="587"/>
      <c r="B47" s="588"/>
      <c r="C47" s="586"/>
      <c r="D47" s="586"/>
      <c r="E47" s="104" t="s">
        <v>76</v>
      </c>
      <c r="F47" s="105">
        <v>56</v>
      </c>
      <c r="G47" s="340"/>
      <c r="H47" s="334"/>
      <c r="I47" s="223"/>
      <c r="J47" s="105"/>
      <c r="K47" s="105">
        <v>26</v>
      </c>
      <c r="L47" s="105">
        <v>23</v>
      </c>
      <c r="M47" s="105">
        <v>6</v>
      </c>
      <c r="N47" s="106">
        <v>1</v>
      </c>
      <c r="O47" s="106"/>
      <c r="P47" s="106"/>
      <c r="Q47" s="106"/>
      <c r="R47" s="107"/>
      <c r="S47" s="173">
        <f t="shared" si="5"/>
        <v>56</v>
      </c>
      <c r="T47" s="88"/>
      <c r="U47" s="88"/>
      <c r="V47" s="88"/>
    </row>
    <row r="48" spans="1:31" ht="20.100000000000001" customHeight="1" thickBot="1" x14ac:dyDescent="0.3">
      <c r="A48" s="587" t="s">
        <v>79</v>
      </c>
      <c r="B48" s="588"/>
      <c r="C48" s="586">
        <v>4</v>
      </c>
      <c r="D48" s="586"/>
      <c r="E48" s="100" t="s">
        <v>74</v>
      </c>
      <c r="F48" s="408">
        <v>63</v>
      </c>
      <c r="G48" s="339"/>
      <c r="H48" s="333"/>
      <c r="I48" s="222"/>
      <c r="J48" s="222"/>
      <c r="K48" s="101">
        <v>30</v>
      </c>
      <c r="L48" s="101">
        <v>24</v>
      </c>
      <c r="M48" s="102">
        <v>5</v>
      </c>
      <c r="N48" s="102">
        <v>4</v>
      </c>
      <c r="O48" s="102"/>
      <c r="P48" s="102"/>
      <c r="Q48" s="102"/>
      <c r="R48" s="103"/>
      <c r="S48" s="172">
        <f t="shared" si="5"/>
        <v>63</v>
      </c>
      <c r="T48" s="88"/>
      <c r="U48" s="88"/>
      <c r="V48" s="88"/>
    </row>
    <row r="49" spans="1:22" ht="20.100000000000001" customHeight="1" thickBot="1" x14ac:dyDescent="0.3">
      <c r="A49" s="587"/>
      <c r="B49" s="588"/>
      <c r="C49" s="586"/>
      <c r="D49" s="586"/>
      <c r="E49" s="104" t="s">
        <v>76</v>
      </c>
      <c r="F49" s="105">
        <v>50</v>
      </c>
      <c r="G49" s="340"/>
      <c r="H49" s="334"/>
      <c r="I49" s="223"/>
      <c r="J49" s="223"/>
      <c r="K49" s="105">
        <v>23</v>
      </c>
      <c r="L49" s="105">
        <v>22</v>
      </c>
      <c r="M49" s="106">
        <v>4</v>
      </c>
      <c r="N49" s="106">
        <v>1</v>
      </c>
      <c r="O49" s="106"/>
      <c r="P49" s="106"/>
      <c r="Q49" s="106"/>
      <c r="R49" s="107"/>
      <c r="S49" s="173">
        <f t="shared" si="5"/>
        <v>50</v>
      </c>
      <c r="T49" s="88"/>
      <c r="U49" s="88"/>
      <c r="V49" s="88"/>
    </row>
    <row r="50" spans="1:22" ht="20.100000000000001" customHeight="1" thickBot="1" x14ac:dyDescent="0.3">
      <c r="A50" s="587" t="s">
        <v>80</v>
      </c>
      <c r="B50" s="588"/>
      <c r="C50" s="586">
        <v>3</v>
      </c>
      <c r="D50" s="586"/>
      <c r="E50" s="109" t="s">
        <v>74</v>
      </c>
      <c r="F50" s="110">
        <v>60</v>
      </c>
      <c r="G50" s="341"/>
      <c r="H50" s="335"/>
      <c r="I50" s="224"/>
      <c r="J50" s="224"/>
      <c r="K50" s="224"/>
      <c r="L50" s="110"/>
      <c r="M50" s="110">
        <v>26</v>
      </c>
      <c r="N50" s="92">
        <v>31</v>
      </c>
      <c r="O50" s="92">
        <v>2</v>
      </c>
      <c r="P50" s="92">
        <v>1</v>
      </c>
      <c r="Q50" s="92"/>
      <c r="R50" s="93"/>
      <c r="S50" s="174">
        <f>SUM(H50:R50)</f>
        <v>60</v>
      </c>
      <c r="T50" s="88"/>
      <c r="U50" s="88"/>
      <c r="V50" s="88"/>
    </row>
    <row r="51" spans="1:22" ht="20.100000000000001" customHeight="1" thickBot="1" x14ac:dyDescent="0.3">
      <c r="A51" s="587"/>
      <c r="B51" s="588"/>
      <c r="C51" s="586"/>
      <c r="D51" s="586"/>
      <c r="E51" s="111" t="s">
        <v>76</v>
      </c>
      <c r="F51" s="112">
        <v>61</v>
      </c>
      <c r="G51" s="342"/>
      <c r="H51" s="336"/>
      <c r="I51" s="225"/>
      <c r="J51" s="225"/>
      <c r="K51" s="225"/>
      <c r="L51" s="112"/>
      <c r="M51" s="112">
        <v>31</v>
      </c>
      <c r="N51" s="94">
        <v>28</v>
      </c>
      <c r="O51" s="94">
        <v>1</v>
      </c>
      <c r="P51" s="94">
        <v>1</v>
      </c>
      <c r="Q51" s="94"/>
      <c r="R51" s="95"/>
      <c r="S51" s="175">
        <f>SUM(H51:R51)</f>
        <v>61</v>
      </c>
      <c r="T51" s="88"/>
      <c r="U51" s="88"/>
      <c r="V51" s="88"/>
    </row>
    <row r="52" spans="1:22" ht="20.100000000000001" customHeight="1" thickBot="1" x14ac:dyDescent="0.3">
      <c r="A52" s="587" t="s">
        <v>81</v>
      </c>
      <c r="B52" s="588"/>
      <c r="C52" s="586">
        <v>0</v>
      </c>
      <c r="D52" s="586"/>
      <c r="E52" s="100" t="s">
        <v>74</v>
      </c>
      <c r="F52" s="101"/>
      <c r="G52" s="339"/>
      <c r="H52" s="333"/>
      <c r="I52" s="222"/>
      <c r="J52" s="222"/>
      <c r="K52" s="222"/>
      <c r="L52" s="101"/>
      <c r="M52" s="101"/>
      <c r="N52" s="102"/>
      <c r="O52" s="102"/>
      <c r="P52" s="102"/>
      <c r="Q52" s="102"/>
      <c r="R52" s="114"/>
      <c r="S52" s="172">
        <f t="shared" si="5"/>
        <v>0</v>
      </c>
      <c r="T52" s="88"/>
      <c r="U52" s="88"/>
      <c r="V52" s="88"/>
    </row>
    <row r="53" spans="1:22" ht="20.100000000000001" customHeight="1" thickBot="1" x14ac:dyDescent="0.3">
      <c r="A53" s="587"/>
      <c r="B53" s="588"/>
      <c r="C53" s="586"/>
      <c r="D53" s="586"/>
      <c r="E53" s="111" t="s">
        <v>76</v>
      </c>
      <c r="F53" s="112"/>
      <c r="G53" s="342"/>
      <c r="H53" s="336"/>
      <c r="I53" s="225"/>
      <c r="J53" s="225"/>
      <c r="K53" s="225"/>
      <c r="L53" s="112"/>
      <c r="M53" s="112"/>
      <c r="N53" s="94"/>
      <c r="O53" s="94"/>
      <c r="P53" s="94"/>
      <c r="Q53" s="94"/>
      <c r="R53" s="95"/>
      <c r="S53" s="175">
        <f t="shared" si="5"/>
        <v>0</v>
      </c>
      <c r="T53" s="88"/>
      <c r="U53" s="88"/>
      <c r="V53" s="88"/>
    </row>
    <row r="54" spans="1:22" ht="20.100000000000001" customHeight="1" x14ac:dyDescent="0.25">
      <c r="A54" s="607" t="s">
        <v>179</v>
      </c>
      <c r="B54" s="608"/>
      <c r="C54" s="608"/>
      <c r="D54" s="609"/>
      <c r="E54" s="285" t="s">
        <v>74</v>
      </c>
      <c r="F54" s="288">
        <f>SUM(F42,F44,F46,F48,F50,F52)</f>
        <v>345</v>
      </c>
      <c r="G54" s="343">
        <f>SUM(G42,G44,G46,G48,G50,G52)</f>
        <v>0</v>
      </c>
      <c r="H54" s="322">
        <f t="shared" ref="H54:R54" si="6">SUM(H42,H44,H46,H48,H50,H52)</f>
        <v>0</v>
      </c>
      <c r="I54" s="288">
        <f t="shared" si="6"/>
        <v>22</v>
      </c>
      <c r="J54" s="288">
        <f t="shared" si="6"/>
        <v>69</v>
      </c>
      <c r="K54" s="288">
        <f t="shared" si="6"/>
        <v>107</v>
      </c>
      <c r="L54" s="288">
        <f t="shared" si="6"/>
        <v>63</v>
      </c>
      <c r="M54" s="288">
        <f t="shared" si="6"/>
        <v>41</v>
      </c>
      <c r="N54" s="288">
        <f t="shared" si="6"/>
        <v>38</v>
      </c>
      <c r="O54" s="288">
        <f t="shared" si="6"/>
        <v>4</v>
      </c>
      <c r="P54" s="288">
        <f t="shared" si="6"/>
        <v>1</v>
      </c>
      <c r="Q54" s="288">
        <f t="shared" si="6"/>
        <v>0</v>
      </c>
      <c r="R54" s="288">
        <f t="shared" si="6"/>
        <v>0</v>
      </c>
      <c r="S54" s="290">
        <f>SUM(S42,S44,S46,S48,S50,S52)</f>
        <v>345</v>
      </c>
      <c r="T54" s="88"/>
      <c r="U54" s="88"/>
      <c r="V54" s="88"/>
    </row>
    <row r="55" spans="1:22" ht="20.100000000000001" customHeight="1" thickBot="1" x14ac:dyDescent="0.3">
      <c r="A55" s="610"/>
      <c r="B55" s="611"/>
      <c r="C55" s="611"/>
      <c r="D55" s="612"/>
      <c r="E55" s="286" t="s">
        <v>76</v>
      </c>
      <c r="F55" s="291">
        <f>SUM(F43,F45,F47,F49,F51,F53)</f>
        <v>302</v>
      </c>
      <c r="G55" s="344">
        <f>SUM(G43,G45,G47,G49,G51,G53)</f>
        <v>0</v>
      </c>
      <c r="H55" s="323">
        <f t="shared" ref="H55:R55" si="7">SUM(H43,H45,H47,H49,H51,H53)</f>
        <v>0</v>
      </c>
      <c r="I55" s="289">
        <f t="shared" si="7"/>
        <v>36</v>
      </c>
      <c r="J55" s="289">
        <f t="shared" si="7"/>
        <v>60</v>
      </c>
      <c r="K55" s="289">
        <f t="shared" si="7"/>
        <v>81</v>
      </c>
      <c r="L55" s="289">
        <f t="shared" si="7"/>
        <v>50</v>
      </c>
      <c r="M55" s="289">
        <f t="shared" si="7"/>
        <v>43</v>
      </c>
      <c r="N55" s="289">
        <f t="shared" si="7"/>
        <v>30</v>
      </c>
      <c r="O55" s="289">
        <f t="shared" si="7"/>
        <v>1</v>
      </c>
      <c r="P55" s="289">
        <f t="shared" si="7"/>
        <v>1</v>
      </c>
      <c r="Q55" s="289">
        <f t="shared" si="7"/>
        <v>0</v>
      </c>
      <c r="R55" s="289">
        <f t="shared" si="7"/>
        <v>0</v>
      </c>
      <c r="S55" s="287">
        <f>SUM(S43,S45,S47,S49,S51,S53)</f>
        <v>302</v>
      </c>
      <c r="T55" s="88"/>
      <c r="U55" s="88"/>
      <c r="V55" s="88"/>
    </row>
    <row r="56" spans="1:22" ht="20.100000000000001" customHeight="1" thickBot="1" x14ac:dyDescent="0.3">
      <c r="A56" s="614" t="s">
        <v>1</v>
      </c>
      <c r="B56" s="615"/>
      <c r="C56" s="615"/>
      <c r="D56" s="615"/>
      <c r="E56" s="615"/>
      <c r="F56" s="176">
        <f>SUM(F54:F55)</f>
        <v>647</v>
      </c>
      <c r="G56" s="345">
        <f t="shared" ref="G56:S56" si="8">SUM(G54:G55)</f>
        <v>0</v>
      </c>
      <c r="H56" s="337">
        <f t="shared" si="8"/>
        <v>0</v>
      </c>
      <c r="I56" s="176">
        <f t="shared" si="8"/>
        <v>58</v>
      </c>
      <c r="J56" s="176">
        <f t="shared" si="8"/>
        <v>129</v>
      </c>
      <c r="K56" s="176">
        <f t="shared" si="8"/>
        <v>188</v>
      </c>
      <c r="L56" s="176">
        <f t="shared" si="8"/>
        <v>113</v>
      </c>
      <c r="M56" s="176">
        <f t="shared" si="8"/>
        <v>84</v>
      </c>
      <c r="N56" s="176">
        <f t="shared" si="8"/>
        <v>68</v>
      </c>
      <c r="O56" s="176">
        <f t="shared" si="8"/>
        <v>5</v>
      </c>
      <c r="P56" s="176">
        <f t="shared" si="8"/>
        <v>2</v>
      </c>
      <c r="Q56" s="176">
        <f t="shared" si="8"/>
        <v>0</v>
      </c>
      <c r="R56" s="176">
        <f t="shared" si="8"/>
        <v>0</v>
      </c>
      <c r="S56" s="176">
        <f t="shared" si="8"/>
        <v>647</v>
      </c>
      <c r="T56" s="88"/>
      <c r="U56" s="88"/>
      <c r="V56" s="88"/>
    </row>
    <row r="57" spans="1:22" s="62" customFormat="1" ht="20.100000000000001" customHeight="1" x14ac:dyDescent="0.25">
      <c r="A57" s="124"/>
      <c r="B57" s="124"/>
      <c r="C57" s="124"/>
      <c r="D57" s="124"/>
      <c r="E57" s="124"/>
      <c r="F57" s="271"/>
      <c r="G57" s="271"/>
      <c r="H57" s="271"/>
      <c r="I57" s="271"/>
      <c r="J57" s="271"/>
      <c r="K57" s="271"/>
      <c r="L57" s="271"/>
      <c r="M57" s="271"/>
      <c r="N57" s="271"/>
      <c r="O57" s="271"/>
      <c r="P57" s="271"/>
      <c r="Q57" s="271"/>
      <c r="R57" s="271"/>
      <c r="S57" s="271"/>
      <c r="T57" s="122"/>
      <c r="U57" s="122"/>
      <c r="V57" s="122"/>
    </row>
    <row r="58" spans="1:22" s="62" customFormat="1" ht="20.100000000000001" customHeight="1" x14ac:dyDescent="0.25">
      <c r="A58" s="124"/>
      <c r="B58" s="124"/>
      <c r="C58" s="124"/>
      <c r="D58" s="124"/>
      <c r="E58" s="124"/>
      <c r="F58" s="271"/>
      <c r="G58" s="271"/>
      <c r="H58" s="271"/>
      <c r="I58" s="271"/>
      <c r="J58" s="271"/>
      <c r="K58" s="271"/>
      <c r="L58" s="271"/>
      <c r="M58" s="271"/>
      <c r="N58" s="271"/>
      <c r="O58" s="271"/>
      <c r="P58" s="271"/>
      <c r="Q58" s="271"/>
      <c r="R58" s="271"/>
      <c r="S58" s="271"/>
      <c r="T58" s="122"/>
      <c r="U58" s="122"/>
      <c r="V58" s="122"/>
    </row>
    <row r="59" spans="1:22" s="62" customFormat="1" ht="20.100000000000001" customHeight="1" x14ac:dyDescent="0.25">
      <c r="A59" s="124"/>
      <c r="B59" s="124"/>
      <c r="C59" s="124"/>
      <c r="D59" s="124"/>
      <c r="E59" s="124"/>
      <c r="F59" s="271"/>
      <c r="G59" s="271"/>
      <c r="H59" s="271"/>
      <c r="I59" s="271"/>
      <c r="J59" s="271"/>
      <c r="K59" s="271"/>
      <c r="L59" s="271"/>
      <c r="M59" s="271"/>
      <c r="N59" s="271"/>
      <c r="O59" s="271"/>
      <c r="P59" s="271"/>
      <c r="Q59" s="271"/>
      <c r="R59" s="271"/>
      <c r="S59" s="271"/>
      <c r="T59" s="122"/>
      <c r="U59" s="122"/>
      <c r="V59" s="122"/>
    </row>
    <row r="60" spans="1:22" s="62" customFormat="1" ht="20.100000000000001" customHeight="1" x14ac:dyDescent="0.25">
      <c r="A60" s="124"/>
      <c r="B60" s="124"/>
      <c r="C60" s="124"/>
      <c r="D60" s="124"/>
      <c r="E60" s="124"/>
      <c r="F60" s="271"/>
      <c r="G60" s="271"/>
      <c r="H60" s="271"/>
      <c r="I60" s="271"/>
      <c r="J60" s="271"/>
      <c r="K60" s="271"/>
      <c r="L60" s="271"/>
      <c r="M60" s="271"/>
      <c r="N60" s="271"/>
      <c r="O60" s="271"/>
      <c r="P60" s="271"/>
      <c r="Q60" s="271"/>
      <c r="R60" s="271"/>
      <c r="S60" s="271"/>
      <c r="T60" s="122"/>
      <c r="U60" s="122"/>
      <c r="V60" s="122"/>
    </row>
    <row r="61" spans="1:22" ht="20.100000000000001" customHeight="1" x14ac:dyDescent="0.25">
      <c r="A61" s="504" t="str">
        <f>'1 ESTADÍSTICA MENSUAL'!A59:C59</f>
        <v>Nombre Director(a):</v>
      </c>
      <c r="B61" s="504"/>
      <c r="C61" s="504"/>
      <c r="D61" s="575">
        <f>'1 ESTADÍSTICA MENSUAL'!D59</f>
        <v>0</v>
      </c>
      <c r="E61" s="575"/>
      <c r="F61" s="575"/>
      <c r="G61" s="575"/>
      <c r="J61" s="259"/>
      <c r="K61" s="259"/>
      <c r="O61" s="557" t="str">
        <f>'1 ESTADÍSTICA MENSUAL'!J59</f>
        <v>CARRIZAL,</v>
      </c>
      <c r="P61" s="557"/>
      <c r="Q61" s="436">
        <f>'1 ESTADÍSTICA MENSUAL'!L59</f>
        <v>0</v>
      </c>
      <c r="R61" s="436"/>
      <c r="S61" s="436"/>
    </row>
    <row r="62" spans="1:22" ht="20.100000000000001" customHeight="1" x14ac:dyDescent="0.25">
      <c r="A62" s="504" t="str">
        <f>'1 ESTADÍSTICA MENSUAL'!A60:C60</f>
        <v>Cédula de Identidad Nº:</v>
      </c>
      <c r="B62" s="504"/>
      <c r="C62" s="504"/>
      <c r="D62" s="575">
        <f>'1 ESTADÍSTICA MENSUAL'!D60</f>
        <v>0</v>
      </c>
      <c r="E62" s="575"/>
      <c r="F62" s="575"/>
      <c r="G62" s="575"/>
      <c r="J62" s="259"/>
      <c r="K62" s="259"/>
      <c r="L62" s="126"/>
      <c r="M62" s="126"/>
      <c r="N62" s="126"/>
      <c r="O62" s="557" t="str">
        <f>'1 ESTADÍSTICA MENSUAL'!J60</f>
        <v>GUAICAIPURO,</v>
      </c>
      <c r="P62" s="557"/>
      <c r="Q62" s="436">
        <f>'1 ESTADÍSTICA MENSUAL'!L60</f>
        <v>0</v>
      </c>
      <c r="R62" s="436"/>
      <c r="S62" s="436"/>
    </row>
    <row r="63" spans="1:22" ht="20.100000000000001" customHeight="1" x14ac:dyDescent="0.25">
      <c r="A63" s="504" t="str">
        <f>'1 ESTADÍSTICA MENSUAL'!A61:C61</f>
        <v>Teléfono(s):</v>
      </c>
      <c r="B63" s="504"/>
      <c r="C63" s="504"/>
      <c r="D63" s="575">
        <f>'1 ESTADÍSTICA MENSUAL'!D61</f>
        <v>0</v>
      </c>
      <c r="E63" s="575"/>
      <c r="F63" s="575"/>
      <c r="G63" s="575"/>
      <c r="J63" s="259"/>
      <c r="K63" s="259"/>
      <c r="L63" s="80"/>
      <c r="M63" s="80"/>
      <c r="N63" s="80"/>
      <c r="O63" s="557" t="str">
        <f>'1 ESTADÍSTICA MENSUAL'!J61</f>
        <v>LOS SALIAS,</v>
      </c>
      <c r="P63" s="557"/>
      <c r="Q63" s="436">
        <f>'1 ESTADÍSTICA MENSUAL'!L61</f>
        <v>0</v>
      </c>
      <c r="R63" s="436"/>
      <c r="S63" s="436"/>
    </row>
    <row r="64" spans="1:22" ht="20.100000000000001" customHeight="1" x14ac:dyDescent="0.25">
      <c r="A64" s="504" t="str">
        <f>'1 ESTADÍSTICA MENSUAL'!A62:C62</f>
        <v>Correo Electrónico:</v>
      </c>
      <c r="B64" s="504"/>
      <c r="C64" s="504"/>
      <c r="D64" s="575">
        <f>'1 ESTADÍSTICA MENSUAL'!D62</f>
        <v>0</v>
      </c>
      <c r="E64" s="575"/>
      <c r="F64" s="575"/>
      <c r="G64" s="575"/>
      <c r="J64" s="259"/>
      <c r="K64" s="259"/>
      <c r="L64" s="80"/>
      <c r="M64" s="80"/>
      <c r="N64" s="80"/>
      <c r="O64" s="159"/>
      <c r="P64" s="159"/>
      <c r="Q64" s="159"/>
      <c r="R64" s="159"/>
      <c r="S64" s="159"/>
    </row>
  </sheetData>
  <sheetProtection algorithmName="SHA-512" hashValue="4PMVUlPl0NyBUAO8yf6R7qncV6LTUUQRfgluZzEKRWjmr+WjDu99H0XnLL1CFLWY7jvfxPdDK6lldezJFIeePQ==" saltValue="/VC6B6QiTlG58eWonVndJw==" spinCount="100000" sheet="1" formatCells="0" formatColumns="0" formatRows="0"/>
  <mergeCells count="84">
    <mergeCell ref="A14:D15"/>
    <mergeCell ref="A33:B34"/>
    <mergeCell ref="A18:E18"/>
    <mergeCell ref="A23:B24"/>
    <mergeCell ref="C23:D24"/>
    <mergeCell ref="A17:B17"/>
    <mergeCell ref="E21:E22"/>
    <mergeCell ref="A21:B22"/>
    <mergeCell ref="C21:D22"/>
    <mergeCell ref="C17:D17"/>
    <mergeCell ref="A27:B28"/>
    <mergeCell ref="C27:D28"/>
    <mergeCell ref="A56:E56"/>
    <mergeCell ref="A52:B53"/>
    <mergeCell ref="C52:D53"/>
    <mergeCell ref="C16:D16"/>
    <mergeCell ref="O61:P61"/>
    <mergeCell ref="D61:G61"/>
    <mergeCell ref="A46:B47"/>
    <mergeCell ref="C46:D47"/>
    <mergeCell ref="A54:D55"/>
    <mergeCell ref="C48:D49"/>
    <mergeCell ref="A29:B30"/>
    <mergeCell ref="C29:D30"/>
    <mergeCell ref="A31:B32"/>
    <mergeCell ref="C31:D32"/>
    <mergeCell ref="A44:B45"/>
    <mergeCell ref="H21:S21"/>
    <mergeCell ref="D62:G62"/>
    <mergeCell ref="F40:G40"/>
    <mergeCell ref="H14:K14"/>
    <mergeCell ref="C25:D26"/>
    <mergeCell ref="C33:D34"/>
    <mergeCell ref="A37:E37"/>
    <mergeCell ref="A39:E39"/>
    <mergeCell ref="A40:B41"/>
    <mergeCell ref="C40:D41"/>
    <mergeCell ref="E40:E41"/>
    <mergeCell ref="A50:B51"/>
    <mergeCell ref="C50:D51"/>
    <mergeCell ref="A48:B49"/>
    <mergeCell ref="A35:D36"/>
    <mergeCell ref="A20:D20"/>
    <mergeCell ref="A25:B26"/>
    <mergeCell ref="D64:G64"/>
    <mergeCell ref="D63:G63"/>
    <mergeCell ref="O11:Q11"/>
    <mergeCell ref="A61:C61"/>
    <mergeCell ref="A62:C62"/>
    <mergeCell ref="A63:C63"/>
    <mergeCell ref="A64:C64"/>
    <mergeCell ref="E14:E15"/>
    <mergeCell ref="F14:G14"/>
    <mergeCell ref="F21:G21"/>
    <mergeCell ref="A16:B16"/>
    <mergeCell ref="A13:D13"/>
    <mergeCell ref="C44:D45"/>
    <mergeCell ref="A42:B43"/>
    <mergeCell ref="C42:D43"/>
    <mergeCell ref="O62:P62"/>
    <mergeCell ref="A1:S1"/>
    <mergeCell ref="O10:Q10"/>
    <mergeCell ref="C9:I9"/>
    <mergeCell ref="F10:I10"/>
    <mergeCell ref="A9:B9"/>
    <mergeCell ref="R9:S9"/>
    <mergeCell ref="A10:B10"/>
    <mergeCell ref="C10:D10"/>
    <mergeCell ref="R10:S10"/>
    <mergeCell ref="O9:Q9"/>
    <mergeCell ref="A5:S5"/>
    <mergeCell ref="A4:S4"/>
    <mergeCell ref="A3:S3"/>
    <mergeCell ref="A2:S2"/>
    <mergeCell ref="A7:S7"/>
    <mergeCell ref="Q62:S62"/>
    <mergeCell ref="O63:P63"/>
    <mergeCell ref="Q63:S63"/>
    <mergeCell ref="R11:S11"/>
    <mergeCell ref="Q14:Q15"/>
    <mergeCell ref="L14:P14"/>
    <mergeCell ref="Q61:S61"/>
    <mergeCell ref="H13:Q13"/>
    <mergeCell ref="H40:S40"/>
  </mergeCells>
  <printOptions horizontalCentered="1" verticalCentered="1"/>
  <pageMargins left="0.78740157480314965" right="0.39370078740157483" top="0.39370078740157483" bottom="0.39370078740157483" header="0.31496062992125984" footer="0.31496062992125984"/>
  <pageSetup scale="47" orientation="portrait" r:id="rId1"/>
  <ignoredErrors>
    <ignoredError sqref="P16:P17" formulaRange="1"/>
  </ignoredError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249977111117893"/>
  </sheetPr>
  <dimension ref="A1:P28"/>
  <sheetViews>
    <sheetView view="pageBreakPreview" topLeftCell="B1" zoomScale="70" zoomScaleNormal="78" zoomScaleSheetLayoutView="70" workbookViewId="0">
      <selection activeCell="J18" sqref="J18"/>
    </sheetView>
  </sheetViews>
  <sheetFormatPr baseColWidth="10" defaultColWidth="11.44140625" defaultRowHeight="13.2" x14ac:dyDescent="0.25"/>
  <cols>
    <col min="1" max="16" width="12.6640625" style="17" customWidth="1"/>
    <col min="17" max="16384" width="11.44140625" style="17"/>
  </cols>
  <sheetData>
    <row r="1" spans="1:16" ht="12.75" customHeight="1" x14ac:dyDescent="0.25">
      <c r="A1" s="503" t="s">
        <v>111</v>
      </c>
      <c r="B1" s="503"/>
      <c r="C1" s="503"/>
      <c r="D1" s="503"/>
      <c r="E1" s="503"/>
      <c r="F1" s="503"/>
      <c r="G1" s="503"/>
      <c r="H1" s="503"/>
      <c r="I1" s="503"/>
      <c r="J1" s="503"/>
      <c r="K1" s="503"/>
      <c r="L1" s="503"/>
      <c r="M1" s="503"/>
      <c r="N1" s="503"/>
      <c r="O1" s="503"/>
      <c r="P1" s="503"/>
    </row>
    <row r="2" spans="1:16" ht="15" customHeight="1" x14ac:dyDescent="0.25">
      <c r="A2" s="444" t="s">
        <v>112</v>
      </c>
      <c r="B2" s="444"/>
      <c r="C2" s="444"/>
      <c r="D2" s="444"/>
      <c r="E2" s="444"/>
      <c r="F2" s="444"/>
      <c r="G2" s="444"/>
      <c r="H2" s="444"/>
      <c r="I2" s="444"/>
      <c r="J2" s="444"/>
      <c r="K2" s="444"/>
      <c r="L2" s="444"/>
      <c r="M2" s="444"/>
      <c r="N2" s="444"/>
      <c r="O2" s="444"/>
      <c r="P2" s="444"/>
    </row>
    <row r="3" spans="1:16" ht="15" customHeight="1" x14ac:dyDescent="0.25">
      <c r="A3" s="444" t="s">
        <v>113</v>
      </c>
      <c r="B3" s="444"/>
      <c r="C3" s="444"/>
      <c r="D3" s="444"/>
      <c r="E3" s="444"/>
      <c r="F3" s="444"/>
      <c r="G3" s="444"/>
      <c r="H3" s="444"/>
      <c r="I3" s="444"/>
      <c r="J3" s="444"/>
      <c r="K3" s="444"/>
      <c r="L3" s="444"/>
      <c r="M3" s="444"/>
      <c r="N3" s="444"/>
      <c r="O3" s="444"/>
      <c r="P3" s="444"/>
    </row>
    <row r="4" spans="1:16" ht="15" customHeight="1" x14ac:dyDescent="0.25">
      <c r="A4" s="444" t="s">
        <v>114</v>
      </c>
      <c r="B4" s="444"/>
      <c r="C4" s="444"/>
      <c r="D4" s="444"/>
      <c r="E4" s="444"/>
      <c r="F4" s="444"/>
      <c r="G4" s="444"/>
      <c r="H4" s="444"/>
      <c r="I4" s="444"/>
      <c r="J4" s="444"/>
      <c r="K4" s="444"/>
      <c r="L4" s="444"/>
      <c r="M4" s="444"/>
      <c r="N4" s="444"/>
      <c r="O4" s="444"/>
      <c r="P4" s="444"/>
    </row>
    <row r="5" spans="1:16" ht="15" customHeight="1" x14ac:dyDescent="0.25">
      <c r="A5" s="444" t="s">
        <v>115</v>
      </c>
      <c r="B5" s="444"/>
      <c r="C5" s="444"/>
      <c r="D5" s="444"/>
      <c r="E5" s="444"/>
      <c r="F5" s="444"/>
      <c r="G5" s="444"/>
      <c r="H5" s="444"/>
      <c r="I5" s="444"/>
      <c r="J5" s="444"/>
      <c r="K5" s="444"/>
      <c r="L5" s="444"/>
      <c r="M5" s="444"/>
      <c r="N5" s="444"/>
      <c r="O5" s="444"/>
      <c r="P5" s="444"/>
    </row>
    <row r="6" spans="1:16" ht="19.95" customHeight="1" x14ac:dyDescent="0.25"/>
    <row r="7" spans="1:16" ht="19.95" customHeight="1" thickBot="1" x14ac:dyDescent="0.3"/>
    <row r="8" spans="1:16" s="86" customFormat="1" ht="24" customHeight="1" thickBot="1" x14ac:dyDescent="0.3">
      <c r="A8" s="572" t="s">
        <v>140</v>
      </c>
      <c r="B8" s="573"/>
      <c r="C8" s="573"/>
      <c r="D8" s="573"/>
      <c r="E8" s="573"/>
      <c r="F8" s="573"/>
      <c r="G8" s="573"/>
      <c r="H8" s="573"/>
      <c r="I8" s="573"/>
      <c r="J8" s="573"/>
      <c r="K8" s="573"/>
      <c r="L8" s="573"/>
      <c r="M8" s="573"/>
      <c r="N8" s="573"/>
      <c r="O8" s="573"/>
      <c r="P8" s="573"/>
    </row>
    <row r="9" spans="1:16" s="86" customFormat="1" ht="24" customHeight="1" x14ac:dyDescent="0.25">
      <c r="A9" s="87"/>
      <c r="B9" s="87"/>
      <c r="C9" s="87"/>
      <c r="D9" s="87"/>
      <c r="E9" s="87"/>
      <c r="F9" s="87"/>
      <c r="G9" s="87"/>
      <c r="H9" s="87"/>
      <c r="I9" s="87"/>
      <c r="J9" s="87"/>
      <c r="K9" s="87"/>
      <c r="L9" s="87"/>
      <c r="M9" s="87"/>
      <c r="N9" s="87"/>
      <c r="O9" s="87"/>
      <c r="P9" s="87"/>
    </row>
    <row r="10" spans="1:16" ht="24" customHeight="1" x14ac:dyDescent="0.25">
      <c r="A10" s="457" t="s">
        <v>14</v>
      </c>
      <c r="B10" s="457"/>
      <c r="C10" s="519">
        <f>'1 ESTADÍSTICA MENSUAL'!C11</f>
        <v>0</v>
      </c>
      <c r="D10" s="519"/>
      <c r="E10" s="519"/>
      <c r="F10" s="519"/>
      <c r="G10" s="519"/>
      <c r="H10" s="519"/>
      <c r="I10" s="77"/>
      <c r="K10" s="457" t="s">
        <v>39</v>
      </c>
      <c r="L10" s="457"/>
      <c r="M10" s="457"/>
      <c r="N10" s="518">
        <f>'1 ESTADÍSTICA MENSUAL'!M11</f>
        <v>0</v>
      </c>
      <c r="O10" s="518"/>
      <c r="P10" s="518"/>
    </row>
    <row r="11" spans="1:16" ht="24" customHeight="1" x14ac:dyDescent="0.25">
      <c r="A11" s="457" t="s">
        <v>15</v>
      </c>
      <c r="B11" s="457"/>
      <c r="C11" s="518">
        <f>'1 ESTADÍSTICA MENSUAL'!C12</f>
        <v>0</v>
      </c>
      <c r="D11" s="518"/>
      <c r="E11" s="20" t="s">
        <v>0</v>
      </c>
      <c r="F11" s="657">
        <f>'1 ESTADÍSTICA MENSUAL'!F12</f>
        <v>0</v>
      </c>
      <c r="G11" s="657"/>
      <c r="H11" s="657"/>
      <c r="I11" s="137"/>
      <c r="K11" s="530" t="s">
        <v>16</v>
      </c>
      <c r="L11" s="530"/>
      <c r="M11" s="530"/>
      <c r="N11" s="558">
        <f>'1 ESTADÍSTICA MENSUAL'!M12</f>
        <v>0</v>
      </c>
      <c r="O11" s="558"/>
      <c r="P11" s="558"/>
    </row>
    <row r="12" spans="1:16" s="86" customFormat="1" ht="24" customHeight="1" x14ac:dyDescent="0.25">
      <c r="A12" s="87"/>
      <c r="B12" s="87"/>
      <c r="C12" s="87"/>
      <c r="D12" s="87"/>
      <c r="E12" s="87"/>
      <c r="F12" s="87"/>
      <c r="G12" s="87"/>
      <c r="H12" s="87"/>
      <c r="I12" s="87"/>
      <c r="K12" s="457" t="s">
        <v>40</v>
      </c>
      <c r="L12" s="457"/>
      <c r="M12" s="457"/>
      <c r="N12" s="558">
        <f>'1 ESTADÍSTICA MENSUAL'!M13</f>
        <v>0</v>
      </c>
      <c r="O12" s="558"/>
      <c r="P12" s="558"/>
    </row>
    <row r="13" spans="1:16" s="86" customFormat="1" ht="24" customHeight="1" thickBot="1" x14ac:dyDescent="0.3">
      <c r="A13" s="87"/>
      <c r="B13" s="87"/>
      <c r="C13" s="87"/>
      <c r="D13" s="87"/>
      <c r="E13" s="87"/>
      <c r="F13" s="87"/>
      <c r="G13" s="87"/>
      <c r="H13" s="87"/>
      <c r="I13" s="87"/>
    </row>
    <row r="14" spans="1:16" s="86" customFormat="1" ht="24" customHeight="1" thickBot="1" x14ac:dyDescent="0.3">
      <c r="A14" s="653" t="s">
        <v>139</v>
      </c>
      <c r="B14" s="654"/>
      <c r="C14" s="654"/>
      <c r="D14" s="654"/>
      <c r="E14" s="654"/>
      <c r="F14" s="654"/>
      <c r="G14" s="654"/>
      <c r="H14" s="654"/>
      <c r="I14" s="654"/>
      <c r="J14" s="654"/>
      <c r="K14" s="654"/>
      <c r="L14" s="654"/>
      <c r="M14" s="654"/>
      <c r="N14" s="654"/>
      <c r="O14" s="655"/>
      <c r="P14" s="656"/>
    </row>
    <row r="15" spans="1:16" s="86" customFormat="1" ht="24" customHeight="1" x14ac:dyDescent="0.25">
      <c r="A15" s="645" t="s">
        <v>161</v>
      </c>
      <c r="B15" s="646"/>
      <c r="C15" s="647"/>
      <c r="D15" s="651" t="s">
        <v>137</v>
      </c>
      <c r="E15" s="643"/>
      <c r="F15" s="643"/>
      <c r="G15" s="643"/>
      <c r="H15" s="643"/>
      <c r="I15" s="643"/>
      <c r="J15" s="643"/>
      <c r="K15" s="643"/>
      <c r="L15" s="643"/>
      <c r="M15" s="643"/>
      <c r="N15" s="652"/>
      <c r="O15" s="346"/>
      <c r="P15" s="640" t="s">
        <v>1</v>
      </c>
    </row>
    <row r="16" spans="1:16" s="86" customFormat="1" ht="24" customHeight="1" thickBot="1" x14ac:dyDescent="0.3">
      <c r="A16" s="648"/>
      <c r="B16" s="649"/>
      <c r="C16" s="650"/>
      <c r="D16" s="147">
        <v>10</v>
      </c>
      <c r="E16" s="140">
        <v>11</v>
      </c>
      <c r="F16" s="140">
        <v>12</v>
      </c>
      <c r="G16" s="140">
        <v>13</v>
      </c>
      <c r="H16" s="140">
        <v>14</v>
      </c>
      <c r="I16" s="140">
        <v>15</v>
      </c>
      <c r="J16" s="140">
        <v>16</v>
      </c>
      <c r="K16" s="140">
        <v>17</v>
      </c>
      <c r="L16" s="140">
        <v>18</v>
      </c>
      <c r="M16" s="140">
        <v>19</v>
      </c>
      <c r="N16" s="141" t="s">
        <v>160</v>
      </c>
      <c r="O16" s="347" t="s">
        <v>184</v>
      </c>
      <c r="P16" s="641"/>
    </row>
    <row r="17" spans="1:16" s="86" customFormat="1" ht="24" customHeight="1" x14ac:dyDescent="0.25">
      <c r="A17" s="642" t="s">
        <v>62</v>
      </c>
      <c r="B17" s="643"/>
      <c r="C17" s="644"/>
      <c r="D17" s="148">
        <v>0</v>
      </c>
      <c r="E17" s="292">
        <v>0</v>
      </c>
      <c r="F17" s="292">
        <v>0</v>
      </c>
      <c r="G17" s="292">
        <v>0</v>
      </c>
      <c r="H17" s="292">
        <v>0</v>
      </c>
      <c r="I17" s="292">
        <v>0</v>
      </c>
      <c r="J17" s="292">
        <v>0</v>
      </c>
      <c r="K17" s="292">
        <v>0</v>
      </c>
      <c r="L17" s="292">
        <v>0</v>
      </c>
      <c r="M17" s="292">
        <v>0</v>
      </c>
      <c r="N17" s="293">
        <v>0</v>
      </c>
      <c r="O17" s="348">
        <v>0</v>
      </c>
      <c r="P17" s="144">
        <f>SUM(D17:N17)</f>
        <v>0</v>
      </c>
    </row>
    <row r="18" spans="1:16" s="86" customFormat="1" ht="24" customHeight="1" x14ac:dyDescent="0.25">
      <c r="A18" s="631" t="s">
        <v>82</v>
      </c>
      <c r="B18" s="632"/>
      <c r="C18" s="633"/>
      <c r="D18" s="149">
        <v>0</v>
      </c>
      <c r="E18" s="232">
        <v>0</v>
      </c>
      <c r="F18" s="232">
        <v>0</v>
      </c>
      <c r="G18" s="232">
        <v>0</v>
      </c>
      <c r="H18" s="232">
        <v>0</v>
      </c>
      <c r="I18" s="232">
        <v>0</v>
      </c>
      <c r="J18" s="232">
        <v>1</v>
      </c>
      <c r="K18" s="232">
        <v>0</v>
      </c>
      <c r="L18" s="232">
        <v>0</v>
      </c>
      <c r="M18" s="232">
        <v>0</v>
      </c>
      <c r="N18" s="294">
        <v>0</v>
      </c>
      <c r="O18" s="348">
        <v>0</v>
      </c>
      <c r="P18" s="144">
        <f>SUM(D18:N18)</f>
        <v>1</v>
      </c>
    </row>
    <row r="19" spans="1:16" s="86" customFormat="1" ht="24" customHeight="1" thickBot="1" x14ac:dyDescent="0.3">
      <c r="A19" s="637" t="s">
        <v>138</v>
      </c>
      <c r="B19" s="638"/>
      <c r="C19" s="639"/>
      <c r="D19" s="139">
        <v>0</v>
      </c>
      <c r="E19" s="233">
        <v>0</v>
      </c>
      <c r="F19" s="233">
        <v>0</v>
      </c>
      <c r="G19" s="233">
        <v>0</v>
      </c>
      <c r="H19" s="233">
        <v>0</v>
      </c>
      <c r="I19" s="233">
        <v>0</v>
      </c>
      <c r="J19" s="233">
        <v>0</v>
      </c>
      <c r="K19" s="233">
        <v>0</v>
      </c>
      <c r="L19" s="233">
        <v>0</v>
      </c>
      <c r="M19" s="233">
        <v>0</v>
      </c>
      <c r="N19" s="295">
        <v>0</v>
      </c>
      <c r="O19" s="349">
        <v>0</v>
      </c>
      <c r="P19" s="145">
        <f>SUM(D19:N19)</f>
        <v>0</v>
      </c>
    </row>
    <row r="20" spans="1:16" s="86" customFormat="1" ht="24" customHeight="1" thickBot="1" x14ac:dyDescent="0.3">
      <c r="A20" s="634" t="s">
        <v>1</v>
      </c>
      <c r="B20" s="635"/>
      <c r="C20" s="636"/>
      <c r="D20" s="150">
        <f>SUM(D17:D19)</f>
        <v>0</v>
      </c>
      <c r="E20" s="150">
        <f t="shared" ref="E20:O20" si="0">SUM(E17:E19)</f>
        <v>0</v>
      </c>
      <c r="F20" s="150">
        <f t="shared" si="0"/>
        <v>0</v>
      </c>
      <c r="G20" s="150">
        <f t="shared" si="0"/>
        <v>0</v>
      </c>
      <c r="H20" s="150">
        <f t="shared" si="0"/>
        <v>0</v>
      </c>
      <c r="I20" s="150">
        <f t="shared" si="0"/>
        <v>0</v>
      </c>
      <c r="J20" s="150">
        <f t="shared" si="0"/>
        <v>1</v>
      </c>
      <c r="K20" s="150">
        <f t="shared" si="0"/>
        <v>0</v>
      </c>
      <c r="L20" s="150">
        <f t="shared" si="0"/>
        <v>0</v>
      </c>
      <c r="M20" s="150">
        <f t="shared" si="0"/>
        <v>0</v>
      </c>
      <c r="N20" s="150">
        <f t="shared" si="0"/>
        <v>0</v>
      </c>
      <c r="O20" s="150">
        <f t="shared" si="0"/>
        <v>0</v>
      </c>
      <c r="P20" s="146">
        <f>SUM(P17:P19)</f>
        <v>1</v>
      </c>
    </row>
    <row r="21" spans="1:16" s="86" customFormat="1" ht="24" customHeight="1" x14ac:dyDescent="0.25">
      <c r="A21" s="87"/>
      <c r="B21" s="87"/>
      <c r="C21" s="87"/>
      <c r="D21" s="87"/>
      <c r="E21" s="87"/>
      <c r="F21" s="87"/>
      <c r="G21" s="87"/>
      <c r="H21" s="87"/>
      <c r="I21" s="87"/>
    </row>
    <row r="22" spans="1:16" s="86" customFormat="1" ht="24" customHeight="1" x14ac:dyDescent="0.25">
      <c r="A22" s="87"/>
      <c r="B22" s="87"/>
      <c r="C22" s="87"/>
      <c r="D22" s="87"/>
      <c r="E22" s="87"/>
      <c r="F22" s="87"/>
      <c r="G22" s="87"/>
      <c r="H22" s="87"/>
      <c r="I22" s="87"/>
    </row>
    <row r="23" spans="1:16" ht="27.9" customHeight="1" x14ac:dyDescent="0.25">
      <c r="A23" s="504" t="str">
        <f>'1 ESTADÍSTICA MENSUAL'!A59:C59</f>
        <v>Nombre Director(a):</v>
      </c>
      <c r="B23" s="504"/>
      <c r="C23" s="504"/>
      <c r="D23" s="575">
        <f>'1 ESTADÍSTICA MENSUAL'!D59</f>
        <v>0</v>
      </c>
      <c r="E23" s="575"/>
      <c r="F23" s="575"/>
      <c r="G23" s="575"/>
      <c r="H23" s="259"/>
      <c r="I23" s="259"/>
      <c r="J23" s="259"/>
      <c r="K23" s="428" t="str">
        <f>'1 ESTADÍSTICA MENSUAL'!J59</f>
        <v>CARRIZAL,</v>
      </c>
      <c r="L23" s="428"/>
      <c r="M23" s="436">
        <f>'1 ESTADÍSTICA MENSUAL'!L59</f>
        <v>0</v>
      </c>
      <c r="N23" s="436"/>
      <c r="O23" s="436"/>
      <c r="P23" s="436"/>
    </row>
    <row r="24" spans="1:16" ht="27.9" customHeight="1" x14ac:dyDescent="0.25">
      <c r="A24" s="504" t="str">
        <f>'1 ESTADÍSTICA MENSUAL'!A60:C60</f>
        <v>Cédula de Identidad Nº:</v>
      </c>
      <c r="B24" s="504"/>
      <c r="C24" s="504"/>
      <c r="D24" s="575">
        <f>'1 ESTADÍSTICA MENSUAL'!D60</f>
        <v>0</v>
      </c>
      <c r="E24" s="575"/>
      <c r="F24" s="575"/>
      <c r="G24" s="575"/>
      <c r="H24" s="259"/>
      <c r="I24" s="259"/>
      <c r="J24" s="259"/>
      <c r="K24" s="428" t="str">
        <f>'1 ESTADÍSTICA MENSUAL'!J60</f>
        <v>GUAICAIPURO,</v>
      </c>
      <c r="L24" s="428"/>
      <c r="M24" s="436">
        <f>'1 ESTADÍSTICA MENSUAL'!L60</f>
        <v>0</v>
      </c>
      <c r="N24" s="436"/>
      <c r="O24" s="436"/>
      <c r="P24" s="436"/>
    </row>
    <row r="25" spans="1:16" ht="24" customHeight="1" x14ac:dyDescent="0.25">
      <c r="A25" s="504" t="str">
        <f>'1 ESTADÍSTICA MENSUAL'!A61:C61</f>
        <v>Teléfono(s):</v>
      </c>
      <c r="B25" s="504"/>
      <c r="C25" s="504"/>
      <c r="D25" s="575">
        <f>'1 ESTADÍSTICA MENSUAL'!D61</f>
        <v>0</v>
      </c>
      <c r="E25" s="575"/>
      <c r="F25" s="575"/>
      <c r="G25" s="575"/>
      <c r="H25" s="259"/>
      <c r="I25" s="259"/>
      <c r="J25" s="259"/>
      <c r="K25" s="428" t="str">
        <f>'1 ESTADÍSTICA MENSUAL'!J61</f>
        <v>LOS SALIAS,</v>
      </c>
      <c r="L25" s="428"/>
      <c r="M25" s="436">
        <f>'1 ESTADÍSTICA MENSUAL'!L61</f>
        <v>0</v>
      </c>
      <c r="N25" s="436"/>
      <c r="O25" s="436"/>
      <c r="P25" s="436"/>
    </row>
    <row r="26" spans="1:16" ht="24" customHeight="1" x14ac:dyDescent="0.25">
      <c r="A26" s="504" t="str">
        <f>'1 ESTADÍSTICA MENSUAL'!A62:C62</f>
        <v>Correo Electrónico:</v>
      </c>
      <c r="B26" s="504"/>
      <c r="C26" s="504"/>
      <c r="D26" s="575">
        <f>'1 ESTADÍSTICA MENSUAL'!D62</f>
        <v>0</v>
      </c>
      <c r="E26" s="575"/>
      <c r="F26" s="575"/>
      <c r="G26" s="575"/>
      <c r="H26" s="259"/>
      <c r="I26" s="259"/>
      <c r="J26" s="259"/>
      <c r="L26" s="126"/>
      <c r="M26" s="126"/>
      <c r="N26" s="126"/>
      <c r="O26" s="296"/>
      <c r="P26" s="158"/>
    </row>
    <row r="27" spans="1:16" ht="24" customHeight="1" x14ac:dyDescent="0.25">
      <c r="L27" s="80"/>
      <c r="M27" s="80"/>
      <c r="N27" s="80"/>
      <c r="O27" s="80"/>
      <c r="P27" s="158"/>
    </row>
    <row r="28" spans="1:16" ht="24" customHeight="1" x14ac:dyDescent="0.25">
      <c r="L28" s="80"/>
      <c r="M28" s="80"/>
      <c r="N28" s="80"/>
      <c r="O28" s="80"/>
      <c r="P28" s="159"/>
    </row>
  </sheetData>
  <sheetProtection algorithmName="SHA-512" hashValue="nWoiHCuqqgLSXb5tOLfuyvk9no/faAxZ0mZlTpo8U3chHpnHm3YVTwvS3iw2Dks2ZIx0pwYOfroFAUS3HuLQzA==" saltValue="zRGA5bwaWbzczQRG2LR6IQ==" spinCount="100000" sheet="1" formatCells="0" formatColumns="0" formatRows="0"/>
  <mergeCells count="39">
    <mergeCell ref="A1:P1"/>
    <mergeCell ref="P15:P16"/>
    <mergeCell ref="A17:C17"/>
    <mergeCell ref="A15:C16"/>
    <mergeCell ref="D15:N15"/>
    <mergeCell ref="K12:M12"/>
    <mergeCell ref="K10:M10"/>
    <mergeCell ref="K11:M11"/>
    <mergeCell ref="A14:P14"/>
    <mergeCell ref="A8:P8"/>
    <mergeCell ref="A5:P5"/>
    <mergeCell ref="A4:P4"/>
    <mergeCell ref="A3:P3"/>
    <mergeCell ref="N10:P10"/>
    <mergeCell ref="C10:H10"/>
    <mergeCell ref="F11:H11"/>
    <mergeCell ref="A26:C26"/>
    <mergeCell ref="D26:G26"/>
    <mergeCell ref="A20:C20"/>
    <mergeCell ref="A19:C19"/>
    <mergeCell ref="A2:P2"/>
    <mergeCell ref="N12:P12"/>
    <mergeCell ref="K23:L23"/>
    <mergeCell ref="M23:P23"/>
    <mergeCell ref="A24:C24"/>
    <mergeCell ref="D24:G24"/>
    <mergeCell ref="A23:C23"/>
    <mergeCell ref="D23:G23"/>
    <mergeCell ref="A11:B11"/>
    <mergeCell ref="C11:D11"/>
    <mergeCell ref="N11:P11"/>
    <mergeCell ref="A10:B10"/>
    <mergeCell ref="K24:L24"/>
    <mergeCell ref="M24:P24"/>
    <mergeCell ref="K25:L25"/>
    <mergeCell ref="M25:P25"/>
    <mergeCell ref="A18:C18"/>
    <mergeCell ref="A25:C25"/>
    <mergeCell ref="D25:G25"/>
  </mergeCells>
  <pageMargins left="0.78740157480314965" right="0.39370078740157483" top="0.39370078740157483" bottom="0.39370078740157483" header="0.31496062992125984" footer="0.31496062992125984"/>
  <pageSetup scale="45" orientation="portrait" r:id="rId1"/>
  <ignoredErrors>
    <ignoredError sqref="D20 E20:N20" formulaRange="1"/>
  </ignoredError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AE31"/>
  <sheetViews>
    <sheetView tabSelected="1" view="pageBreakPreview" topLeftCell="G1" zoomScale="60" zoomScaleNormal="60" workbookViewId="0">
      <selection activeCell="R44" sqref="R44"/>
    </sheetView>
  </sheetViews>
  <sheetFormatPr baseColWidth="10" defaultColWidth="11.44140625" defaultRowHeight="13.2" x14ac:dyDescent="0.25"/>
  <cols>
    <col min="1" max="3" width="10.109375" style="17" customWidth="1"/>
    <col min="4" max="30" width="9.6640625" style="17" customWidth="1"/>
    <col min="31" max="16384" width="11.44140625" style="17"/>
  </cols>
  <sheetData>
    <row r="1" spans="1:31" ht="12.75" customHeight="1" x14ac:dyDescent="0.25">
      <c r="A1" s="503" t="s">
        <v>111</v>
      </c>
      <c r="B1" s="503"/>
      <c r="C1" s="503"/>
      <c r="D1" s="503"/>
      <c r="E1" s="503"/>
      <c r="F1" s="503"/>
      <c r="G1" s="503"/>
      <c r="H1" s="503"/>
      <c r="I1" s="503"/>
      <c r="J1" s="503"/>
      <c r="K1" s="503"/>
      <c r="L1" s="503"/>
      <c r="M1" s="503"/>
      <c r="N1" s="503"/>
      <c r="O1" s="503"/>
      <c r="P1" s="503"/>
      <c r="Q1" s="503"/>
      <c r="R1" s="503"/>
      <c r="S1" s="503"/>
      <c r="T1" s="503"/>
      <c r="U1" s="503"/>
      <c r="V1" s="503"/>
      <c r="W1" s="503"/>
      <c r="X1" s="503"/>
      <c r="Y1" s="503"/>
      <c r="Z1" s="503"/>
      <c r="AA1" s="503"/>
      <c r="AB1" s="503"/>
      <c r="AC1" s="503"/>
      <c r="AD1" s="503"/>
      <c r="AE1" s="503"/>
    </row>
    <row r="2" spans="1:31" ht="15" customHeight="1" x14ac:dyDescent="0.25">
      <c r="A2" s="444" t="s">
        <v>112</v>
      </c>
      <c r="B2" s="444"/>
      <c r="C2" s="444"/>
      <c r="D2" s="444"/>
      <c r="E2" s="444"/>
      <c r="F2" s="444"/>
      <c r="G2" s="444"/>
      <c r="H2" s="444"/>
      <c r="I2" s="444"/>
      <c r="J2" s="444"/>
      <c r="K2" s="444"/>
      <c r="L2" s="444"/>
      <c r="M2" s="444"/>
      <c r="N2" s="444"/>
      <c r="O2" s="444"/>
      <c r="P2" s="444"/>
      <c r="Q2" s="444"/>
      <c r="R2" s="444"/>
      <c r="S2" s="444"/>
      <c r="T2" s="444"/>
      <c r="U2" s="444"/>
      <c r="V2" s="444"/>
      <c r="W2" s="444"/>
      <c r="X2" s="444"/>
      <c r="Y2" s="444"/>
      <c r="Z2" s="444"/>
      <c r="AA2" s="444"/>
      <c r="AB2" s="444"/>
      <c r="AC2" s="444"/>
      <c r="AD2" s="444"/>
      <c r="AE2" s="444"/>
    </row>
    <row r="3" spans="1:31" ht="15" customHeight="1" x14ac:dyDescent="0.25">
      <c r="A3" s="444" t="s">
        <v>113</v>
      </c>
      <c r="B3" s="444"/>
      <c r="C3" s="444"/>
      <c r="D3" s="444"/>
      <c r="E3" s="444"/>
      <c r="F3" s="444"/>
      <c r="G3" s="444"/>
      <c r="H3" s="444"/>
      <c r="I3" s="444"/>
      <c r="J3" s="444"/>
      <c r="K3" s="444"/>
      <c r="L3" s="444"/>
      <c r="M3" s="444"/>
      <c r="N3" s="444"/>
      <c r="O3" s="444"/>
      <c r="P3" s="444"/>
      <c r="Q3" s="444"/>
      <c r="R3" s="444"/>
      <c r="S3" s="444"/>
      <c r="T3" s="444"/>
      <c r="U3" s="444"/>
      <c r="V3" s="444"/>
      <c r="W3" s="444"/>
      <c r="X3" s="444"/>
      <c r="Y3" s="444"/>
      <c r="Z3" s="444"/>
      <c r="AA3" s="444"/>
      <c r="AB3" s="444"/>
      <c r="AC3" s="444"/>
      <c r="AD3" s="444"/>
      <c r="AE3" s="444"/>
    </row>
    <row r="4" spans="1:31" ht="15" customHeight="1" x14ac:dyDescent="0.25">
      <c r="A4" s="444" t="s">
        <v>114</v>
      </c>
      <c r="B4" s="444"/>
      <c r="C4" s="444"/>
      <c r="D4" s="444"/>
      <c r="E4" s="444"/>
      <c r="F4" s="444"/>
      <c r="G4" s="444"/>
      <c r="H4" s="444"/>
      <c r="I4" s="444"/>
      <c r="J4" s="444"/>
      <c r="K4" s="444"/>
      <c r="L4" s="444"/>
      <c r="M4" s="444"/>
      <c r="N4" s="444"/>
      <c r="O4" s="444"/>
      <c r="P4" s="444"/>
      <c r="Q4" s="444"/>
      <c r="R4" s="444"/>
      <c r="S4" s="444"/>
      <c r="T4" s="444"/>
      <c r="U4" s="444"/>
      <c r="V4" s="444"/>
      <c r="W4" s="444"/>
      <c r="X4" s="444"/>
      <c r="Y4" s="444"/>
      <c r="Z4" s="444"/>
      <c r="AA4" s="444"/>
      <c r="AB4" s="444"/>
      <c r="AC4" s="444"/>
      <c r="AD4" s="444"/>
      <c r="AE4" s="444"/>
    </row>
    <row r="5" spans="1:31" ht="15" customHeight="1" x14ac:dyDescent="0.25">
      <c r="A5" s="444" t="s">
        <v>115</v>
      </c>
      <c r="B5" s="444"/>
      <c r="C5" s="444"/>
      <c r="D5" s="444"/>
      <c r="E5" s="444"/>
      <c r="F5" s="444"/>
      <c r="G5" s="444"/>
      <c r="H5" s="444"/>
      <c r="I5" s="444"/>
      <c r="J5" s="444"/>
      <c r="K5" s="444"/>
      <c r="L5" s="444"/>
      <c r="M5" s="444"/>
      <c r="N5" s="444"/>
      <c r="O5" s="444"/>
      <c r="P5" s="444"/>
      <c r="Q5" s="444"/>
      <c r="R5" s="444"/>
      <c r="S5" s="444"/>
      <c r="T5" s="444"/>
      <c r="U5" s="444"/>
      <c r="V5" s="444"/>
      <c r="W5" s="444"/>
      <c r="X5" s="444"/>
      <c r="Y5" s="444"/>
      <c r="Z5" s="444"/>
      <c r="AA5" s="444"/>
      <c r="AB5" s="444"/>
      <c r="AC5" s="444"/>
      <c r="AD5" s="444"/>
      <c r="AE5" s="444"/>
    </row>
    <row r="6" spans="1:31" ht="19.95" customHeight="1" x14ac:dyDescent="0.25"/>
    <row r="7" spans="1:31" ht="19.95" customHeight="1" x14ac:dyDescent="0.25"/>
    <row r="8" spans="1:31" s="86" customFormat="1" ht="24" customHeight="1" x14ac:dyDescent="0.25">
      <c r="A8" s="669" t="s">
        <v>141</v>
      </c>
      <c r="B8" s="669"/>
      <c r="C8" s="669"/>
      <c r="D8" s="669"/>
      <c r="E8" s="669"/>
      <c r="F8" s="669"/>
      <c r="G8" s="669"/>
      <c r="H8" s="669"/>
      <c r="I8" s="669"/>
      <c r="J8" s="669"/>
      <c r="K8" s="669"/>
      <c r="L8" s="669"/>
      <c r="M8" s="669"/>
      <c r="N8" s="669"/>
      <c r="O8" s="669"/>
      <c r="P8" s="669"/>
      <c r="Q8" s="669"/>
      <c r="R8" s="669"/>
      <c r="S8" s="669"/>
      <c r="T8" s="669"/>
      <c r="U8" s="669"/>
      <c r="V8" s="669"/>
      <c r="W8" s="669"/>
      <c r="X8" s="669"/>
      <c r="Y8" s="669"/>
      <c r="Z8" s="669"/>
      <c r="AA8" s="669"/>
      <c r="AB8" s="669"/>
      <c r="AC8" s="669"/>
      <c r="AD8" s="669"/>
      <c r="AE8" s="669"/>
    </row>
    <row r="9" spans="1:31" s="86" customFormat="1" ht="24" customHeight="1" x14ac:dyDescent="0.25">
      <c r="A9" s="87"/>
      <c r="B9" s="87"/>
      <c r="C9" s="87"/>
      <c r="D9" s="87"/>
      <c r="E9" s="87"/>
      <c r="F9" s="87"/>
      <c r="G9" s="87"/>
      <c r="H9" s="87"/>
      <c r="I9" s="87"/>
      <c r="J9" s="87"/>
      <c r="K9" s="87"/>
      <c r="L9" s="87"/>
      <c r="M9" s="87"/>
      <c r="N9" s="87"/>
      <c r="O9" s="87"/>
    </row>
    <row r="10" spans="1:31" ht="24" customHeight="1" x14ac:dyDescent="0.25">
      <c r="A10" s="457" t="s">
        <v>14</v>
      </c>
      <c r="B10" s="457"/>
      <c r="C10" s="519">
        <f>'1 ESTADÍSTICA MENSUAL'!C11</f>
        <v>0</v>
      </c>
      <c r="D10" s="519"/>
      <c r="E10" s="519"/>
      <c r="F10" s="519"/>
      <c r="G10" s="519"/>
      <c r="H10" s="519"/>
      <c r="I10" s="77"/>
      <c r="Z10" s="457" t="s">
        <v>39</v>
      </c>
      <c r="AA10" s="457"/>
      <c r="AB10" s="457"/>
      <c r="AC10" s="518">
        <f>'1 ESTADÍSTICA MENSUAL'!M11</f>
        <v>0</v>
      </c>
      <c r="AD10" s="518"/>
      <c r="AE10" s="518"/>
    </row>
    <row r="11" spans="1:31" ht="24" customHeight="1" x14ac:dyDescent="0.25">
      <c r="A11" s="457" t="s">
        <v>15</v>
      </c>
      <c r="B11" s="457"/>
      <c r="C11" s="518">
        <f>'1 ESTADÍSTICA MENSUAL'!C12</f>
        <v>0</v>
      </c>
      <c r="D11" s="518"/>
      <c r="E11" s="197" t="s">
        <v>0</v>
      </c>
      <c r="F11" s="657">
        <f>'1 ESTADÍSTICA MENSUAL'!F12</f>
        <v>0</v>
      </c>
      <c r="G11" s="657"/>
      <c r="H11" s="657"/>
      <c r="I11" s="137"/>
      <c r="Z11" s="530" t="s">
        <v>16</v>
      </c>
      <c r="AA11" s="530"/>
      <c r="AB11" s="530"/>
      <c r="AC11" s="518">
        <f>'1 ESTADÍSTICA MENSUAL'!M12</f>
        <v>0</v>
      </c>
      <c r="AD11" s="518"/>
      <c r="AE11" s="518"/>
    </row>
    <row r="12" spans="1:31" s="86" customFormat="1" ht="24" customHeight="1" x14ac:dyDescent="0.25">
      <c r="A12" s="87"/>
      <c r="B12" s="87"/>
      <c r="C12" s="87"/>
      <c r="D12" s="87"/>
      <c r="E12" s="87"/>
      <c r="F12" s="87"/>
      <c r="G12" s="87"/>
      <c r="H12" s="87"/>
      <c r="I12" s="87"/>
      <c r="Z12" s="457" t="s">
        <v>40</v>
      </c>
      <c r="AA12" s="457"/>
      <c r="AB12" s="457"/>
      <c r="AC12" s="518">
        <f>'1 ESTADÍSTICA MENSUAL'!M13</f>
        <v>0</v>
      </c>
      <c r="AD12" s="518"/>
      <c r="AE12" s="518"/>
    </row>
    <row r="13" spans="1:31" s="86" customFormat="1" ht="24" customHeight="1" thickBot="1" x14ac:dyDescent="0.3">
      <c r="A13" s="87"/>
      <c r="B13" s="87"/>
      <c r="C13" s="87"/>
      <c r="D13" s="87"/>
      <c r="E13" s="87"/>
      <c r="F13" s="87"/>
      <c r="G13" s="87"/>
      <c r="H13" s="87"/>
      <c r="I13" s="87"/>
    </row>
    <row r="14" spans="1:31" s="86" customFormat="1" ht="25.95" customHeight="1" thickBot="1" x14ac:dyDescent="0.3">
      <c r="A14" s="660" t="s">
        <v>150</v>
      </c>
      <c r="B14" s="660"/>
      <c r="C14" s="660"/>
      <c r="D14" s="660"/>
      <c r="E14" s="660"/>
      <c r="F14" s="660"/>
      <c r="G14" s="660"/>
      <c r="H14" s="660"/>
      <c r="I14" s="660"/>
      <c r="J14" s="660"/>
      <c r="K14" s="660"/>
      <c r="L14" s="660"/>
      <c r="M14" s="660"/>
      <c r="N14" s="660"/>
      <c r="O14" s="660"/>
      <c r="P14" s="660"/>
      <c r="Q14" s="660"/>
      <c r="R14" s="660"/>
      <c r="S14" s="660"/>
      <c r="T14" s="660"/>
      <c r="U14" s="660"/>
      <c r="V14" s="660"/>
      <c r="W14" s="660"/>
      <c r="X14" s="660"/>
      <c r="Y14" s="660"/>
      <c r="Z14" s="660"/>
      <c r="AA14" s="660"/>
      <c r="AB14" s="660"/>
      <c r="AC14" s="660"/>
      <c r="AD14" s="660"/>
      <c r="AE14" s="660"/>
    </row>
    <row r="15" spans="1:31" s="86" customFormat="1" ht="25.95" customHeight="1" thickBot="1" x14ac:dyDescent="0.3">
      <c r="A15" s="665" t="s">
        <v>161</v>
      </c>
      <c r="B15" s="665"/>
      <c r="C15" s="665"/>
      <c r="D15" s="660" t="s">
        <v>142</v>
      </c>
      <c r="E15" s="660"/>
      <c r="F15" s="660"/>
      <c r="G15" s="660"/>
      <c r="H15" s="660"/>
      <c r="I15" s="660"/>
      <c r="J15" s="660"/>
      <c r="K15" s="660"/>
      <c r="L15" s="660"/>
      <c r="M15" s="660"/>
      <c r="N15" s="660"/>
      <c r="O15" s="660"/>
      <c r="P15" s="660"/>
      <c r="Q15" s="660"/>
      <c r="R15" s="660"/>
      <c r="S15" s="660"/>
      <c r="T15" s="660"/>
      <c r="U15" s="660"/>
      <c r="V15" s="660"/>
      <c r="W15" s="660"/>
      <c r="X15" s="660"/>
      <c r="Y15" s="660"/>
      <c r="Z15" s="660"/>
      <c r="AA15" s="660"/>
      <c r="AB15" s="660"/>
      <c r="AC15" s="660"/>
      <c r="AD15" s="660"/>
      <c r="AE15" s="660"/>
    </row>
    <row r="16" spans="1:31" s="86" customFormat="1" ht="25.95" customHeight="1" thickBot="1" x14ac:dyDescent="0.3">
      <c r="A16" s="665"/>
      <c r="B16" s="665"/>
      <c r="C16" s="665"/>
      <c r="D16" s="665" t="s">
        <v>151</v>
      </c>
      <c r="E16" s="665"/>
      <c r="F16" s="665"/>
      <c r="G16" s="665"/>
      <c r="H16" s="665"/>
      <c r="I16" s="665"/>
      <c r="J16" s="665"/>
      <c r="K16" s="665"/>
      <c r="L16" s="665"/>
      <c r="M16" s="665"/>
      <c r="N16" s="665"/>
      <c r="O16" s="665"/>
      <c r="P16" s="665"/>
      <c r="Q16" s="665"/>
      <c r="R16" s="665"/>
      <c r="S16" s="665"/>
      <c r="T16" s="665"/>
      <c r="U16" s="665"/>
      <c r="V16" s="665"/>
      <c r="W16" s="665"/>
      <c r="X16" s="665"/>
      <c r="Y16" s="665"/>
      <c r="Z16" s="665"/>
      <c r="AA16" s="665"/>
      <c r="AB16" s="665"/>
      <c r="AC16" s="665"/>
      <c r="AD16" s="665"/>
      <c r="AE16" s="667" t="s">
        <v>1</v>
      </c>
    </row>
    <row r="17" spans="1:31" s="86" customFormat="1" ht="25.95" customHeight="1" thickBot="1" x14ac:dyDescent="0.3">
      <c r="A17" s="665"/>
      <c r="B17" s="665"/>
      <c r="C17" s="665"/>
      <c r="D17" s="664" t="s">
        <v>148</v>
      </c>
      <c r="E17" s="659"/>
      <c r="F17" s="666" t="s">
        <v>1</v>
      </c>
      <c r="G17" s="658" t="s">
        <v>144</v>
      </c>
      <c r="H17" s="659"/>
      <c r="I17" s="661" t="s">
        <v>1</v>
      </c>
      <c r="J17" s="658" t="s">
        <v>143</v>
      </c>
      <c r="K17" s="659"/>
      <c r="L17" s="661" t="s">
        <v>1</v>
      </c>
      <c r="M17" s="658" t="s">
        <v>145</v>
      </c>
      <c r="N17" s="659"/>
      <c r="O17" s="661" t="s">
        <v>1</v>
      </c>
      <c r="P17" s="658" t="s">
        <v>147</v>
      </c>
      <c r="Q17" s="659"/>
      <c r="R17" s="661" t="s">
        <v>1</v>
      </c>
      <c r="S17" s="658" t="s">
        <v>146</v>
      </c>
      <c r="T17" s="659"/>
      <c r="U17" s="661" t="s">
        <v>1</v>
      </c>
      <c r="V17" s="658" t="s">
        <v>149</v>
      </c>
      <c r="W17" s="664"/>
      <c r="X17" s="664"/>
      <c r="Y17" s="664"/>
      <c r="Z17" s="664"/>
      <c r="AA17" s="664"/>
      <c r="AB17" s="664"/>
      <c r="AC17" s="664"/>
      <c r="AD17" s="664"/>
      <c r="AE17" s="667"/>
    </row>
    <row r="18" spans="1:31" s="86" customFormat="1" ht="25.95" customHeight="1" thickBot="1" x14ac:dyDescent="0.3">
      <c r="A18" s="665"/>
      <c r="B18" s="665"/>
      <c r="C18" s="665"/>
      <c r="D18" s="664"/>
      <c r="E18" s="659"/>
      <c r="F18" s="666"/>
      <c r="G18" s="658"/>
      <c r="H18" s="659"/>
      <c r="I18" s="661"/>
      <c r="J18" s="658"/>
      <c r="K18" s="659"/>
      <c r="L18" s="661"/>
      <c r="M18" s="658"/>
      <c r="N18" s="659"/>
      <c r="O18" s="661"/>
      <c r="P18" s="658"/>
      <c r="Q18" s="659"/>
      <c r="R18" s="661"/>
      <c r="S18" s="658"/>
      <c r="T18" s="659"/>
      <c r="U18" s="661"/>
      <c r="V18" s="662"/>
      <c r="W18" s="663"/>
      <c r="X18" s="661" t="s">
        <v>1</v>
      </c>
      <c r="Y18" s="662"/>
      <c r="Z18" s="663"/>
      <c r="AA18" s="661" t="s">
        <v>1</v>
      </c>
      <c r="AB18" s="662"/>
      <c r="AC18" s="663"/>
      <c r="AD18" s="661" t="s">
        <v>1</v>
      </c>
      <c r="AE18" s="668"/>
    </row>
    <row r="19" spans="1:31" s="86" customFormat="1" ht="25.95" customHeight="1" thickBot="1" x14ac:dyDescent="0.3">
      <c r="A19" s="665"/>
      <c r="B19" s="665"/>
      <c r="C19" s="665"/>
      <c r="D19" s="351" t="s">
        <v>38</v>
      </c>
      <c r="E19" s="356" t="s">
        <v>36</v>
      </c>
      <c r="F19" s="666"/>
      <c r="G19" s="352" t="s">
        <v>38</v>
      </c>
      <c r="H19" s="356" t="s">
        <v>36</v>
      </c>
      <c r="I19" s="661"/>
      <c r="J19" s="352" t="s">
        <v>38</v>
      </c>
      <c r="K19" s="356" t="s">
        <v>36</v>
      </c>
      <c r="L19" s="661"/>
      <c r="M19" s="352" t="s">
        <v>38</v>
      </c>
      <c r="N19" s="356" t="s">
        <v>36</v>
      </c>
      <c r="O19" s="661"/>
      <c r="P19" s="352" t="s">
        <v>38</v>
      </c>
      <c r="Q19" s="356" t="s">
        <v>36</v>
      </c>
      <c r="R19" s="661"/>
      <c r="S19" s="352" t="s">
        <v>38</v>
      </c>
      <c r="T19" s="356" t="s">
        <v>36</v>
      </c>
      <c r="U19" s="661"/>
      <c r="V19" s="352" t="s">
        <v>38</v>
      </c>
      <c r="W19" s="356" t="s">
        <v>36</v>
      </c>
      <c r="X19" s="661"/>
      <c r="Y19" s="352" t="s">
        <v>38</v>
      </c>
      <c r="Z19" s="356" t="s">
        <v>36</v>
      </c>
      <c r="AA19" s="661"/>
      <c r="AB19" s="352" t="s">
        <v>38</v>
      </c>
      <c r="AC19" s="356" t="s">
        <v>36</v>
      </c>
      <c r="AD19" s="661"/>
      <c r="AE19" s="668"/>
    </row>
    <row r="20" spans="1:31" s="152" customFormat="1" ht="25.95" customHeight="1" x14ac:dyDescent="0.3">
      <c r="A20" s="642" t="s">
        <v>61</v>
      </c>
      <c r="B20" s="643"/>
      <c r="C20" s="644"/>
      <c r="D20" s="148"/>
      <c r="E20" s="231"/>
      <c r="F20" s="153">
        <f>SUM(D20:E20)</f>
        <v>0</v>
      </c>
      <c r="G20" s="353"/>
      <c r="H20" s="231"/>
      <c r="I20" s="153">
        <f>SUM(G20:H20)</f>
        <v>0</v>
      </c>
      <c r="J20" s="353"/>
      <c r="K20" s="231"/>
      <c r="L20" s="153">
        <f>SUM(J20:K20)</f>
        <v>0</v>
      </c>
      <c r="M20" s="353"/>
      <c r="N20" s="234"/>
      <c r="O20" s="153">
        <f>SUM(M20:N20)</f>
        <v>0</v>
      </c>
      <c r="P20" s="353"/>
      <c r="Q20" s="231"/>
      <c r="R20" s="153">
        <f>SUM(P20:Q20)</f>
        <v>0</v>
      </c>
      <c r="S20" s="353"/>
      <c r="T20" s="231"/>
      <c r="U20" s="153">
        <f>SUM(S20:T20)</f>
        <v>0</v>
      </c>
      <c r="V20" s="353"/>
      <c r="W20" s="231"/>
      <c r="X20" s="153">
        <f>SUM(V20:W20)</f>
        <v>0</v>
      </c>
      <c r="Y20" s="353"/>
      <c r="Z20" s="231"/>
      <c r="AA20" s="153">
        <f>SUM(Y20:Z20)</f>
        <v>0</v>
      </c>
      <c r="AB20" s="353"/>
      <c r="AC20" s="231"/>
      <c r="AD20" s="153">
        <f>SUM(AB20:AC20)</f>
        <v>0</v>
      </c>
      <c r="AE20" s="380">
        <f>SUM(AD20,AA20,X20,U20,R20,O20,L20,I20,F20)</f>
        <v>0</v>
      </c>
    </row>
    <row r="21" spans="1:31" s="152" customFormat="1" ht="25.95" customHeight="1" x14ac:dyDescent="0.3">
      <c r="A21" s="631" t="s">
        <v>62</v>
      </c>
      <c r="B21" s="632"/>
      <c r="C21" s="633"/>
      <c r="D21" s="148"/>
      <c r="E21" s="231"/>
      <c r="F21" s="153">
        <f>SUM(D21:E21)</f>
        <v>0</v>
      </c>
      <c r="G21" s="353"/>
      <c r="H21" s="231"/>
      <c r="I21" s="153">
        <f>SUM(G21:H21)</f>
        <v>0</v>
      </c>
      <c r="J21" s="353"/>
      <c r="K21" s="231"/>
      <c r="L21" s="153">
        <f>SUM(J21:K21)</f>
        <v>0</v>
      </c>
      <c r="M21" s="353"/>
      <c r="N21" s="234"/>
      <c r="O21" s="153">
        <f>SUM(M21:N21)</f>
        <v>0</v>
      </c>
      <c r="P21" s="354"/>
      <c r="Q21" s="232"/>
      <c r="R21" s="153">
        <f>SUM(P21:Q21)</f>
        <v>0</v>
      </c>
      <c r="S21" s="354"/>
      <c r="T21" s="232"/>
      <c r="U21" s="153">
        <f>SUM(S21:T21)</f>
        <v>0</v>
      </c>
      <c r="V21" s="354"/>
      <c r="W21" s="232"/>
      <c r="X21" s="153">
        <f>SUM(V21:W21)</f>
        <v>0</v>
      </c>
      <c r="Y21" s="354"/>
      <c r="Z21" s="232"/>
      <c r="AA21" s="153">
        <f>SUM(Y21:Z21)</f>
        <v>0</v>
      </c>
      <c r="AB21" s="354"/>
      <c r="AC21" s="232"/>
      <c r="AD21" s="153">
        <f>SUM(AB21:AC21)</f>
        <v>0</v>
      </c>
      <c r="AE21" s="380">
        <f>SUM(AD21,AA21,X21,U21,R21,O21,L21,I21,F21)</f>
        <v>0</v>
      </c>
    </row>
    <row r="22" spans="1:31" s="152" customFormat="1" ht="25.95" customHeight="1" x14ac:dyDescent="0.3">
      <c r="A22" s="631" t="s">
        <v>82</v>
      </c>
      <c r="B22" s="632"/>
      <c r="C22" s="633"/>
      <c r="D22" s="149"/>
      <c r="E22" s="232"/>
      <c r="F22" s="153">
        <f>SUM(D22:E22)</f>
        <v>0</v>
      </c>
      <c r="G22" s="354"/>
      <c r="H22" s="232"/>
      <c r="I22" s="153">
        <f>SUM(G22:H22)</f>
        <v>0</v>
      </c>
      <c r="J22" s="354"/>
      <c r="K22" s="232"/>
      <c r="L22" s="153">
        <f>SUM(J22:K22)</f>
        <v>0</v>
      </c>
      <c r="M22" s="354"/>
      <c r="N22" s="235"/>
      <c r="O22" s="153">
        <f>SUM(M22:N22)</f>
        <v>0</v>
      </c>
      <c r="P22" s="354"/>
      <c r="Q22" s="232"/>
      <c r="R22" s="153">
        <f>SUM(P22:Q22)</f>
        <v>0</v>
      </c>
      <c r="S22" s="354"/>
      <c r="T22" s="232"/>
      <c r="U22" s="153">
        <f>SUM(S22:T22)</f>
        <v>0</v>
      </c>
      <c r="V22" s="354"/>
      <c r="W22" s="232"/>
      <c r="X22" s="153">
        <f>SUM(V22:W22)</f>
        <v>0</v>
      </c>
      <c r="Y22" s="354"/>
      <c r="Z22" s="232"/>
      <c r="AA22" s="153">
        <f>SUM(Y22:Z22)</f>
        <v>0</v>
      </c>
      <c r="AB22" s="354"/>
      <c r="AC22" s="232"/>
      <c r="AD22" s="153">
        <f>SUM(AB22:AC22)</f>
        <v>0</v>
      </c>
      <c r="AE22" s="380">
        <f>SUM(AD22,AA22,X22,U22,R22,O22,L22,I22,F22)</f>
        <v>0</v>
      </c>
    </row>
    <row r="23" spans="1:31" s="152" customFormat="1" ht="25.95" customHeight="1" thickBot="1" x14ac:dyDescent="0.35">
      <c r="A23" s="631" t="s">
        <v>138</v>
      </c>
      <c r="B23" s="632"/>
      <c r="C23" s="633"/>
      <c r="D23" s="139"/>
      <c r="E23" s="233"/>
      <c r="F23" s="153">
        <f>SUM(D23:E23)</f>
        <v>0</v>
      </c>
      <c r="G23" s="355"/>
      <c r="H23" s="233"/>
      <c r="I23" s="153">
        <f>SUM(G23:H23)</f>
        <v>0</v>
      </c>
      <c r="J23" s="355"/>
      <c r="K23" s="233"/>
      <c r="L23" s="153">
        <f>SUM(J23:K23)</f>
        <v>0</v>
      </c>
      <c r="M23" s="355"/>
      <c r="N23" s="236"/>
      <c r="O23" s="153">
        <f>SUM(M23:N23)</f>
        <v>0</v>
      </c>
      <c r="P23" s="355"/>
      <c r="Q23" s="233"/>
      <c r="R23" s="154">
        <f>SUM(P23:Q23)</f>
        <v>0</v>
      </c>
      <c r="S23" s="355"/>
      <c r="T23" s="233"/>
      <c r="U23" s="154">
        <f>SUM(S23:T23)</f>
        <v>0</v>
      </c>
      <c r="V23" s="355"/>
      <c r="W23" s="233"/>
      <c r="X23" s="154">
        <f>SUM(V23:W23)</f>
        <v>0</v>
      </c>
      <c r="Y23" s="355"/>
      <c r="Z23" s="233"/>
      <c r="AA23" s="154">
        <f>SUM(Y23:Z23)</f>
        <v>0</v>
      </c>
      <c r="AB23" s="355"/>
      <c r="AC23" s="233"/>
      <c r="AD23" s="154">
        <f>SUM(AB23:AC23)</f>
        <v>0</v>
      </c>
      <c r="AE23" s="381">
        <f>SUM(AD23,AA23,X23,U23,R23,O23,L23,I23,F23)</f>
        <v>0</v>
      </c>
    </row>
    <row r="24" spans="1:31" s="151" customFormat="1" ht="25.95" customHeight="1" thickBot="1" x14ac:dyDescent="0.3">
      <c r="A24" s="670" t="s">
        <v>1</v>
      </c>
      <c r="B24" s="671"/>
      <c r="C24" s="672"/>
      <c r="D24" s="150">
        <f>SUM(D20:D23)</f>
        <v>0</v>
      </c>
      <c r="E24" s="150">
        <f t="shared" ref="E24:O24" si="0">SUM(E20:E23)</f>
        <v>0</v>
      </c>
      <c r="F24" s="155">
        <f t="shared" si="0"/>
        <v>0</v>
      </c>
      <c r="G24" s="150">
        <f t="shared" si="0"/>
        <v>0</v>
      </c>
      <c r="H24" s="150">
        <f t="shared" si="0"/>
        <v>0</v>
      </c>
      <c r="I24" s="155">
        <f t="shared" si="0"/>
        <v>0</v>
      </c>
      <c r="J24" s="150">
        <f t="shared" si="0"/>
        <v>0</v>
      </c>
      <c r="K24" s="150">
        <f t="shared" si="0"/>
        <v>0</v>
      </c>
      <c r="L24" s="155">
        <f t="shared" si="0"/>
        <v>0</v>
      </c>
      <c r="M24" s="150">
        <f t="shared" si="0"/>
        <v>0</v>
      </c>
      <c r="N24" s="150">
        <f t="shared" si="0"/>
        <v>0</v>
      </c>
      <c r="O24" s="155">
        <f t="shared" si="0"/>
        <v>0</v>
      </c>
      <c r="P24" s="150">
        <f t="shared" ref="P24:AD24" si="1">SUM(P20:P23)</f>
        <v>0</v>
      </c>
      <c r="Q24" s="150">
        <f t="shared" si="1"/>
        <v>0</v>
      </c>
      <c r="R24" s="155">
        <f t="shared" si="1"/>
        <v>0</v>
      </c>
      <c r="S24" s="150">
        <f t="shared" si="1"/>
        <v>0</v>
      </c>
      <c r="T24" s="150">
        <f t="shared" si="1"/>
        <v>0</v>
      </c>
      <c r="U24" s="155">
        <f t="shared" si="1"/>
        <v>0</v>
      </c>
      <c r="V24" s="150">
        <f t="shared" si="1"/>
        <v>0</v>
      </c>
      <c r="W24" s="150">
        <f t="shared" si="1"/>
        <v>0</v>
      </c>
      <c r="X24" s="155">
        <f t="shared" si="1"/>
        <v>0</v>
      </c>
      <c r="Y24" s="150">
        <f t="shared" si="1"/>
        <v>0</v>
      </c>
      <c r="Z24" s="150">
        <f t="shared" si="1"/>
        <v>0</v>
      </c>
      <c r="AA24" s="155">
        <f t="shared" si="1"/>
        <v>0</v>
      </c>
      <c r="AB24" s="150">
        <f t="shared" si="1"/>
        <v>0</v>
      </c>
      <c r="AC24" s="150">
        <f t="shared" si="1"/>
        <v>0</v>
      </c>
      <c r="AD24" s="155">
        <f t="shared" si="1"/>
        <v>0</v>
      </c>
      <c r="AE24" s="382">
        <f>SUM(AE20:AE23)</f>
        <v>0</v>
      </c>
    </row>
    <row r="25" spans="1:31" s="86" customFormat="1" ht="24" customHeight="1" x14ac:dyDescent="0.25">
      <c r="A25" s="87"/>
      <c r="B25" s="87"/>
      <c r="C25" s="87"/>
      <c r="D25" s="87"/>
      <c r="E25" s="87"/>
      <c r="F25" s="87"/>
      <c r="G25" s="87"/>
      <c r="H25" s="87"/>
      <c r="I25" s="87"/>
    </row>
    <row r="26" spans="1:31" ht="27.9" customHeight="1" x14ac:dyDescent="0.25"/>
    <row r="27" spans="1:31" ht="27.9" customHeight="1" x14ac:dyDescent="0.25">
      <c r="A27" s="557" t="str">
        <f>'1 ESTADÍSTICA MENSUAL'!A59:C59</f>
        <v>Nombre Director(a):</v>
      </c>
      <c r="B27" s="557"/>
      <c r="C27" s="557"/>
      <c r="D27" s="575">
        <f>'1 ESTADÍSTICA MENSUAL'!D59</f>
        <v>0</v>
      </c>
      <c r="E27" s="575"/>
      <c r="F27" s="575"/>
      <c r="G27" s="575"/>
      <c r="N27" s="134"/>
      <c r="O27" s="134"/>
      <c r="P27" s="134"/>
      <c r="Q27" s="134"/>
      <c r="R27" s="134"/>
      <c r="X27" s="428" t="str">
        <f>'1 ESTADÍSTICA MENSUAL'!J59</f>
        <v>CARRIZAL,</v>
      </c>
      <c r="Y27" s="428"/>
      <c r="Z27" s="428"/>
      <c r="AA27" s="436">
        <f>'1 ESTADÍSTICA MENSUAL'!L59</f>
        <v>0</v>
      </c>
      <c r="AB27" s="436"/>
      <c r="AC27" s="436"/>
      <c r="AD27" s="436"/>
    </row>
    <row r="28" spans="1:31" ht="27.9" customHeight="1" x14ac:dyDescent="0.25">
      <c r="A28" s="557" t="str">
        <f>'1 ESTADÍSTICA MENSUAL'!A60:C60</f>
        <v>Cédula de Identidad Nº:</v>
      </c>
      <c r="B28" s="557"/>
      <c r="C28" s="557"/>
      <c r="D28" s="575">
        <f>'1 ESTADÍSTICA MENSUAL'!D60</f>
        <v>0</v>
      </c>
      <c r="E28" s="575"/>
      <c r="F28" s="575"/>
      <c r="G28" s="575"/>
      <c r="N28" s="134"/>
      <c r="O28" s="134"/>
      <c r="P28" s="134"/>
      <c r="Q28" s="134"/>
      <c r="R28" s="134"/>
      <c r="X28" s="428" t="str">
        <f>'1 ESTADÍSTICA MENSUAL'!J60</f>
        <v>GUAICAIPURO,</v>
      </c>
      <c r="Y28" s="428"/>
      <c r="Z28" s="428"/>
      <c r="AA28" s="436">
        <f>'1 ESTADÍSTICA MENSUAL'!L60</f>
        <v>0</v>
      </c>
      <c r="AB28" s="436"/>
      <c r="AC28" s="436"/>
      <c r="AD28" s="436"/>
    </row>
    <row r="29" spans="1:31" ht="24" customHeight="1" x14ac:dyDescent="0.25">
      <c r="A29" s="557" t="str">
        <f>'1 ESTADÍSTICA MENSUAL'!A61:C61</f>
        <v>Teléfono(s):</v>
      </c>
      <c r="B29" s="557"/>
      <c r="C29" s="557"/>
      <c r="D29" s="575">
        <f>'1 ESTADÍSTICA MENSUAL'!D61</f>
        <v>0</v>
      </c>
      <c r="E29" s="575"/>
      <c r="F29" s="575"/>
      <c r="G29" s="575"/>
      <c r="N29" s="134"/>
      <c r="O29" s="134"/>
      <c r="P29" s="134"/>
      <c r="Q29" s="134"/>
      <c r="R29" s="134"/>
      <c r="X29" s="428" t="str">
        <f>'1 ESTADÍSTICA MENSUAL'!J61</f>
        <v>LOS SALIAS,</v>
      </c>
      <c r="Y29" s="428"/>
      <c r="Z29" s="428"/>
      <c r="AA29" s="436">
        <f>'1 ESTADÍSTICA MENSUAL'!L61</f>
        <v>0</v>
      </c>
      <c r="AB29" s="436"/>
      <c r="AC29" s="436"/>
      <c r="AD29" s="436"/>
    </row>
    <row r="30" spans="1:31" ht="24" customHeight="1" x14ac:dyDescent="0.25">
      <c r="A30" s="557" t="str">
        <f>'1 ESTADÍSTICA MENSUAL'!A62:C62</f>
        <v>Correo Electrónico:</v>
      </c>
      <c r="B30" s="557"/>
      <c r="C30" s="557"/>
      <c r="D30" s="575">
        <f>'1 ESTADÍSTICA MENSUAL'!D62</f>
        <v>0</v>
      </c>
      <c r="E30" s="575"/>
      <c r="F30" s="575"/>
      <c r="G30" s="575"/>
      <c r="N30" s="134"/>
      <c r="O30" s="134"/>
      <c r="P30" s="134"/>
      <c r="Q30" s="134"/>
      <c r="R30" s="134"/>
      <c r="AA30" s="195"/>
      <c r="AB30" s="195"/>
      <c r="AC30" s="195"/>
      <c r="AD30" s="158"/>
    </row>
    <row r="31" spans="1:31" ht="24" customHeight="1" x14ac:dyDescent="0.25">
      <c r="L31" s="80"/>
      <c r="M31" s="80"/>
      <c r="N31" s="80"/>
      <c r="O31" s="136"/>
    </row>
  </sheetData>
  <sheetProtection algorithmName="SHA-512" hashValue="CwCoERRLtO9K3oo+QrJsn0hayYT6C9D5quAzMOej4wm96bHZXGd8FB/scsmx3fwKI500S5VaSVrCB05gXeoaNA==" saltValue="okyauKHwoylSdjIGFz6o5g==" spinCount="100000" sheet="1" formatCells="0" formatColumns="0" formatRows="0"/>
  <mergeCells count="60">
    <mergeCell ref="AA29:AD29"/>
    <mergeCell ref="L17:L19"/>
    <mergeCell ref="D17:E18"/>
    <mergeCell ref="A30:C30"/>
    <mergeCell ref="D30:G30"/>
    <mergeCell ref="X27:Z27"/>
    <mergeCell ref="X28:Z28"/>
    <mergeCell ref="A22:C22"/>
    <mergeCell ref="A23:C23"/>
    <mergeCell ref="A24:C24"/>
    <mergeCell ref="A27:C27"/>
    <mergeCell ref="D27:G27"/>
    <mergeCell ref="X29:Z29"/>
    <mergeCell ref="A29:C29"/>
    <mergeCell ref="D29:G29"/>
    <mergeCell ref="G17:H18"/>
    <mergeCell ref="A3:AE3"/>
    <mergeCell ref="A2:AE2"/>
    <mergeCell ref="A1:AE1"/>
    <mergeCell ref="A14:AE14"/>
    <mergeCell ref="AE16:AE19"/>
    <mergeCell ref="A8:AE8"/>
    <mergeCell ref="A10:B10"/>
    <mergeCell ref="C10:H10"/>
    <mergeCell ref="F11:H11"/>
    <mergeCell ref="Z11:AB11"/>
    <mergeCell ref="A11:B11"/>
    <mergeCell ref="C11:D11"/>
    <mergeCell ref="AC11:AE11"/>
    <mergeCell ref="AC10:AE10"/>
    <mergeCell ref="D16:AD16"/>
    <mergeCell ref="Z10:AB10"/>
    <mergeCell ref="A5:AE5"/>
    <mergeCell ref="A4:AE4"/>
    <mergeCell ref="A21:C21"/>
    <mergeCell ref="A20:C20"/>
    <mergeCell ref="A28:C28"/>
    <mergeCell ref="D28:G28"/>
    <mergeCell ref="AB18:AC18"/>
    <mergeCell ref="X18:X19"/>
    <mergeCell ref="AD18:AD19"/>
    <mergeCell ref="AA28:AD28"/>
    <mergeCell ref="P17:Q18"/>
    <mergeCell ref="A15:C19"/>
    <mergeCell ref="F17:F19"/>
    <mergeCell ref="U17:U19"/>
    <mergeCell ref="O17:O19"/>
    <mergeCell ref="I17:I19"/>
    <mergeCell ref="Z12:AB12"/>
    <mergeCell ref="AA27:AD27"/>
    <mergeCell ref="V18:W18"/>
    <mergeCell ref="Y18:Z18"/>
    <mergeCell ref="AC12:AE12"/>
    <mergeCell ref="V17:AD17"/>
    <mergeCell ref="J17:K18"/>
    <mergeCell ref="M17:N18"/>
    <mergeCell ref="S17:T18"/>
    <mergeCell ref="D15:AE15"/>
    <mergeCell ref="AA18:AA19"/>
    <mergeCell ref="R17:R19"/>
  </mergeCells>
  <pageMargins left="0.78740157480314965" right="0.39370078740157483" top="0.39370078740157483" bottom="0.39370078740157483" header="0.31496062992125984" footer="0.31496062992125984"/>
  <pageSetup scale="3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2</vt:i4>
      </vt:variant>
    </vt:vector>
  </HeadingPairs>
  <TitlesOfParts>
    <vt:vector size="11" baseType="lpstr">
      <vt:lpstr>LISTA</vt:lpstr>
      <vt:lpstr>1 ESTADÍSTICA MENSUAL</vt:lpstr>
      <vt:lpstr>2 RELAC. ING. Y EGR. </vt:lpstr>
      <vt:lpstr>3 ASIST. GRADO AÑO</vt:lpstr>
      <vt:lpstr>4 ASIST PERS.</vt:lpstr>
      <vt:lpstr>4.1 ASIST PERS.</vt:lpstr>
      <vt:lpstr>5 CLAS. EDAD Y SEXO</vt:lpstr>
      <vt:lpstr>6 EST. EMB.</vt:lpstr>
      <vt:lpstr>7 EST. EX.</vt:lpstr>
      <vt:lpstr>'2 RELAC. ING. Y EGR. '!Área_de_impresión</vt:lpstr>
      <vt:lpstr>'2 RELAC. ING. Y EGR. '!Excel_BuiltIn__FilterDatabase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MGIRON</dc:creator>
  <cp:lastModifiedBy>vanessa</cp:lastModifiedBy>
  <cp:lastPrinted>2024-09-25T13:10:12Z</cp:lastPrinted>
  <dcterms:created xsi:type="dcterms:W3CDTF">2019-11-17T20:07:56Z</dcterms:created>
  <dcterms:modified xsi:type="dcterms:W3CDTF">2024-10-06T19:07:55Z</dcterms:modified>
</cp:coreProperties>
</file>